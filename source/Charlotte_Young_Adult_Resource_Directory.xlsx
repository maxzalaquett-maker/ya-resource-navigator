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rt Here" sheetId="1" state="visible" r:id="rId1"/>
    <sheet name="Resource Directory" sheetId="2" state="visible" r:id="rId2"/>
    <sheet name="Foster Programs" sheetId="3" state="visible" r:id="rId3"/>
    <sheet name="Needs Map" sheetId="4" state="visible" r:id="rId4"/>
    <sheet name="Partnership Priorities" sheetId="5" state="visible" r:id="rId5"/>
    <sheet name="Research Notes" sheetId="6" state="visible" r:id="rId6"/>
    <sheet name="30-Mile Expansion" sheetId="7" state="visible" r:id="rId7"/>
    <sheet name="Document Review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rlito"/>
      <sz val="11"/>
    </font>
    <font>
      <name val="Georgia"/>
      <b val="1"/>
      <color rgb="FFFFFFFF"/>
      <sz val="20"/>
    </font>
    <font>
      <name val="Arial"/>
      <color rgb="FF2F2924"/>
      <sz val="11"/>
    </font>
    <font>
      <name val="Arial"/>
      <b val="1"/>
      <color rgb="FFFFFFFF"/>
      <sz val="10"/>
    </font>
    <font>
      <name val="Georgia"/>
      <b val="1"/>
      <color rgb="FF4A3428"/>
      <sz val="18"/>
    </font>
    <font>
      <name val="Georgia"/>
      <b val="1"/>
      <color rgb="FF2F2924"/>
      <sz val="12"/>
    </font>
    <font>
      <name val="Arial"/>
      <color rgb="FF2F2924"/>
      <sz val="10"/>
    </font>
    <font>
      <name val="Georgia"/>
      <b val="1"/>
      <color rgb="FF4A3428"/>
      <sz val="11"/>
    </font>
    <font>
      <name val="Arial"/>
      <b val="1"/>
      <color rgb="FF4A3428"/>
      <sz val="10"/>
    </font>
    <font>
      <name val="Arial"/>
      <b val="1"/>
      <color rgb="FF2F2924"/>
      <sz val="10"/>
    </font>
    <font>
      <name val="Georgia"/>
      <b val="1"/>
      <color rgb="FF4A3428"/>
      <sz val="17"/>
    </font>
    <font>
      <name val="Georgia"/>
      <b val="1"/>
      <color rgb="FFFFFFFF"/>
      <sz val="18"/>
    </font>
  </fonts>
  <fills count="20">
    <fill>
      <patternFill/>
    </fill>
    <fill>
      <patternFill patternType="gray125"/>
    </fill>
    <fill>
      <patternFill patternType="solid">
        <fgColor rgb="FF4A3428"/>
      </patternFill>
    </fill>
    <fill>
      <patternFill patternType="solid">
        <fgColor rgb="FFF7F1E6"/>
      </patternFill>
    </fill>
    <fill>
      <patternFill patternType="solid">
        <fgColor rgb="FFFFFFFF"/>
      </patternFill>
    </fill>
    <fill>
      <patternFill patternType="solid">
        <fgColor rgb="FFE9A928"/>
      </patternFill>
    </fill>
    <fill>
      <patternFill patternType="solid">
        <fgColor rgb="FFF8E8B9"/>
      </patternFill>
    </fill>
    <fill>
      <patternFill patternType="solid">
        <fgColor rgb="FFF2DED2"/>
      </patternFill>
    </fill>
    <fill>
      <patternFill patternType="solid">
        <fgColor rgb="FF4A3428"/>
      </patternFill>
    </fill>
    <fill>
      <patternFill patternType="solid">
        <fgColor rgb="FFF7F1E6"/>
      </patternFill>
    </fill>
    <fill>
      <patternFill patternType="solid">
        <fgColor rgb="FFFFFFFF"/>
      </patternFill>
    </fill>
    <fill>
      <patternFill patternType="solid">
        <fgColor rgb="FFE9A928"/>
      </patternFill>
    </fill>
    <fill>
      <patternFill patternType="solid">
        <fgColor rgb="FFF8E8B9"/>
      </patternFill>
    </fill>
    <fill>
      <patternFill patternType="solid">
        <fgColor rgb="FF4A3428"/>
      </patternFill>
    </fill>
    <fill>
      <patternFill patternType="solid">
        <fgColor rgb="FFFFFFFF"/>
      </patternFill>
    </fill>
    <fill>
      <patternFill patternType="solid">
        <fgColor rgb="FF4A3428"/>
      </patternFill>
    </fill>
    <fill>
      <patternFill patternType="solid">
        <fgColor rgb="FFFFFFFF"/>
      </patternFill>
    </fill>
    <fill>
      <patternFill patternType="solid">
        <fgColor rgb="FFE9A928"/>
      </patternFill>
    </fill>
    <fill>
      <patternFill patternType="solid">
        <fgColor rgb="FFF8E8B9"/>
      </patternFill>
    </fill>
    <fill>
      <patternFill patternType="solid">
        <fgColor rgb="FFF7F1E6"/>
      </patternFill>
    </fill>
  </fills>
  <borders count="43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42"/>
  </cellStyleXfs>
  <cellXfs count="33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4" fillId="4" borderId="11" applyAlignment="1" pivotButton="0" quotePrefix="0" xfId="0">
      <alignment horizontal="center" vertical="center"/>
    </xf>
    <xf numFmtId="0" fontId="4" fillId="4" borderId="12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vertical="top" wrapText="1"/>
    </xf>
    <xf numFmtId="0" fontId="3" fillId="2" borderId="14" applyAlignment="1" pivotButton="0" quotePrefix="0" xfId="0">
      <alignment horizontal="center" vertical="center" wrapText="1"/>
    </xf>
    <xf numFmtId="0" fontId="6" fillId="0" borderId="14" applyAlignment="1" pivotButton="0" quotePrefix="0" xfId="0">
      <alignment vertical="top" wrapText="1"/>
    </xf>
    <xf numFmtId="0" fontId="3" fillId="2" borderId="15" applyAlignment="1" pivotButton="0" quotePrefix="0" xfId="0">
      <alignment horizontal="center" vertical="center" wrapText="1"/>
    </xf>
    <xf numFmtId="0" fontId="6" fillId="0" borderId="15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7" fillId="6" borderId="0" applyAlignment="1" pivotButton="0" quotePrefix="0" xfId="0">
      <alignment horizontal="center" vertical="top" wrapText="1"/>
    </xf>
    <xf numFmtId="0" fontId="7" fillId="6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center" wrapText="1"/>
    </xf>
    <xf numFmtId="0" fontId="6" fillId="5" borderId="14" applyAlignment="1" pivotButton="0" quotePrefix="0" xfId="0">
      <alignment vertical="top" wrapText="1"/>
    </xf>
    <xf numFmtId="0" fontId="5" fillId="5" borderId="14" applyAlignment="1" pivotButton="0" quotePrefix="0" xfId="0">
      <alignment vertical="top" wrapText="1"/>
    </xf>
    <xf numFmtId="0" fontId="5" fillId="5" borderId="14" applyAlignment="1" pivotButton="0" quotePrefix="0" xfId="0">
      <alignment vertical="center" wrapText="1"/>
    </xf>
    <xf numFmtId="0" fontId="6" fillId="5" borderId="15" applyAlignment="1" pivotButton="0" quotePrefix="0" xfId="0">
      <alignment vertical="top" wrapText="1"/>
    </xf>
    <xf numFmtId="0" fontId="5" fillId="5" borderId="15" applyAlignment="1" pivotButton="0" quotePrefix="0" xfId="0">
      <alignment vertical="top" wrapText="1"/>
    </xf>
    <xf numFmtId="0" fontId="5" fillId="5" borderId="15" applyAlignment="1" pivotButton="0" quotePrefix="0" xfId="0">
      <alignment vertical="center" wrapText="1"/>
    </xf>
    <xf numFmtId="0" fontId="6" fillId="3" borderId="14" applyAlignment="1" pivotButton="0" quotePrefix="0" xfId="0">
      <alignment vertical="top" wrapText="1"/>
    </xf>
    <xf numFmtId="0" fontId="2" fillId="3" borderId="14" applyAlignment="1" pivotButton="0" quotePrefix="0" xfId="0">
      <alignment vertical="top" wrapText="1"/>
    </xf>
    <xf numFmtId="0" fontId="2" fillId="3" borderId="14" applyAlignment="1" pivotButton="0" quotePrefix="0" xfId="0">
      <alignment vertical="center" wrapText="1"/>
    </xf>
    <xf numFmtId="0" fontId="6" fillId="3" borderId="15" applyAlignment="1" pivotButton="0" quotePrefix="0" xfId="0">
      <alignment vertical="top" wrapText="1"/>
    </xf>
    <xf numFmtId="0" fontId="2" fillId="3" borderId="15" applyAlignment="1" pivotButton="0" quotePrefix="0" xfId="0">
      <alignment vertical="top" wrapText="1"/>
    </xf>
    <xf numFmtId="0" fontId="2" fillId="3" borderId="15" applyAlignment="1" pivotButton="0" quotePrefix="0" xfId="0">
      <alignment vertical="center" wrapText="1"/>
    </xf>
    <xf numFmtId="164" fontId="6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3" fillId="2" borderId="16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6" fillId="0" borderId="19" applyAlignment="1" pivotButton="0" quotePrefix="0" xfId="0">
      <alignment vertical="top" wrapText="1"/>
    </xf>
    <xf numFmtId="0" fontId="6" fillId="0" borderId="20" applyAlignment="1" pivotButton="0" quotePrefix="0" xfId="0">
      <alignment vertical="top" wrapText="1"/>
    </xf>
    <xf numFmtId="164" fontId="6" fillId="0" borderId="20" applyAlignment="1" pivotButton="0" quotePrefix="0" xfId="0">
      <alignment vertical="top" wrapText="1"/>
    </xf>
    <xf numFmtId="0" fontId="6" fillId="0" borderId="21" applyAlignment="1" pivotButton="0" quotePrefix="0" xfId="0">
      <alignment vertical="top" wrapText="1"/>
    </xf>
    <xf numFmtId="0" fontId="6" fillId="0" borderId="22" applyAlignment="1" pivotButton="0" quotePrefix="0" xfId="0">
      <alignment vertical="top" wrapText="1"/>
    </xf>
    <xf numFmtId="0" fontId="6" fillId="0" borderId="23" applyAlignment="1" pivotButton="0" quotePrefix="0" xfId="0">
      <alignment vertical="top" wrapText="1"/>
    </xf>
    <xf numFmtId="164" fontId="6" fillId="0" borderId="23" applyAlignment="1" pivotButton="0" quotePrefix="0" xfId="0">
      <alignment vertical="top" wrapText="1"/>
    </xf>
    <xf numFmtId="0" fontId="6" fillId="0" borderId="24" applyAlignment="1" pivotButton="0" quotePrefix="0" xfId="0">
      <alignment vertical="top" wrapText="1"/>
    </xf>
    <xf numFmtId="0" fontId="3" fillId="2" borderId="25" applyAlignment="1" pivotButton="0" quotePrefix="0" xfId="0">
      <alignment horizontal="center" vertical="center" wrapText="1"/>
    </xf>
    <xf numFmtId="0" fontId="3" fillId="2" borderId="26" applyAlignment="1" pivotButton="0" quotePrefix="0" xfId="0">
      <alignment horizontal="center" vertical="center" wrapText="1"/>
    </xf>
    <xf numFmtId="0" fontId="3" fillId="2" borderId="27" applyAlignment="1" pivotButton="0" quotePrefix="0" xfId="0">
      <alignment horizontal="center" vertical="center" wrapText="1"/>
    </xf>
    <xf numFmtId="0" fontId="6" fillId="0" borderId="28" applyAlignment="1" pivotButton="0" quotePrefix="0" xfId="0">
      <alignment vertical="top" wrapText="1"/>
    </xf>
    <xf numFmtId="0" fontId="6" fillId="0" borderId="29" applyAlignment="1" pivotButton="0" quotePrefix="0" xfId="0">
      <alignment vertical="top" wrapText="1"/>
    </xf>
    <xf numFmtId="164" fontId="6" fillId="0" borderId="29" applyAlignment="1" pivotButton="0" quotePrefix="0" xfId="0">
      <alignment vertical="top" wrapText="1"/>
    </xf>
    <xf numFmtId="0" fontId="6" fillId="0" borderId="30" applyAlignment="1" pivotButton="0" quotePrefix="0" xfId="0">
      <alignment vertical="top" wrapText="1"/>
    </xf>
    <xf numFmtId="0" fontId="6" fillId="0" borderId="31" applyAlignment="1" pivotButton="0" quotePrefix="0" xfId="0">
      <alignment vertical="top" wrapText="1"/>
    </xf>
    <xf numFmtId="0" fontId="6" fillId="0" borderId="32" applyAlignment="1" pivotButton="0" quotePrefix="0" xfId="0">
      <alignment vertical="top" wrapText="1"/>
    </xf>
    <xf numFmtId="164" fontId="6" fillId="0" borderId="32" applyAlignment="1" pivotButton="0" quotePrefix="0" xfId="0">
      <alignment vertical="top" wrapText="1"/>
    </xf>
    <xf numFmtId="0" fontId="6" fillId="0" borderId="33" applyAlignment="1" pivotButton="0" quotePrefix="0" xfId="0">
      <alignment vertical="top" wrapText="1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8" fillId="7" borderId="0" applyAlignment="1" pivotButton="0" quotePrefix="0" xfId="0">
      <alignment vertical="center" wrapText="1"/>
    </xf>
    <xf numFmtId="0" fontId="0" fillId="7" borderId="1" pivotButton="0" quotePrefix="0" xfId="0"/>
    <xf numFmtId="0" fontId="8" fillId="7" borderId="1" pivotButton="0" quotePrefix="0" xfId="0"/>
    <xf numFmtId="0" fontId="8" fillId="7" borderId="1" applyAlignment="1" pivotButton="0" quotePrefix="0" xfId="0">
      <alignment wrapText="1"/>
    </xf>
    <xf numFmtId="0" fontId="8" fillId="7" borderId="1" applyAlignment="1" pivotButton="0" quotePrefix="0" xfId="0">
      <alignment vertical="center" wrapText="1"/>
    </xf>
    <xf numFmtId="0" fontId="9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vertical="center" wrapText="1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9" fillId="5" borderId="0" applyAlignment="1" pivotButton="0" quotePrefix="0" xfId="0">
      <alignment vertical="center"/>
    </xf>
    <xf numFmtId="0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 wrapText="1"/>
    </xf>
    <xf numFmtId="0" fontId="9" fillId="5" borderId="14" applyAlignment="1" pivotButton="0" quotePrefix="0" xfId="0">
      <alignment vertical="center" wrapText="1"/>
    </xf>
    <xf numFmtId="0" fontId="9" fillId="6" borderId="0" applyAlignment="1" pivotButton="0" quotePrefix="0" xfId="0">
      <alignment horizontal="center" vertical="center" wrapText="1"/>
    </xf>
    <xf numFmtId="0" fontId="6" fillId="3" borderId="14" applyAlignment="1" pivotButton="0" quotePrefix="0" xfId="0">
      <alignment vertical="center" wrapText="1"/>
    </xf>
    <xf numFmtId="0" fontId="9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vertical="center" wrapText="1"/>
    </xf>
    <xf numFmtId="0" fontId="9" fillId="2" borderId="8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 wrapText="1"/>
    </xf>
    <xf numFmtId="0" fontId="9" fillId="5" borderId="15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3" borderId="15" applyAlignment="1" pivotButton="0" quotePrefix="0" xfId="0">
      <alignment vertical="center" wrapText="1"/>
    </xf>
    <xf numFmtId="0" fontId="9" fillId="2" borderId="16" applyAlignment="1" pivotButton="0" quotePrefix="0" xfId="0">
      <alignment horizontal="center" vertical="center" wrapText="1"/>
    </xf>
    <xf numFmtId="0" fontId="9" fillId="2" borderId="17" applyAlignment="1" pivotButton="0" quotePrefix="0" xfId="0">
      <alignment horizontal="center" vertical="center" wrapText="1"/>
    </xf>
    <xf numFmtId="0" fontId="9" fillId="2" borderId="18" applyAlignment="1" pivotButton="0" quotePrefix="0" xfId="0">
      <alignment horizontal="center" vertical="center" wrapText="1"/>
    </xf>
    <xf numFmtId="0" fontId="9" fillId="2" borderId="25" applyAlignment="1" pivotButton="0" quotePrefix="0" xfId="0">
      <alignment horizontal="center" vertical="center" wrapText="1"/>
    </xf>
    <xf numFmtId="0" fontId="9" fillId="2" borderId="26" applyAlignment="1" pivotButton="0" quotePrefix="0" xfId="0">
      <alignment horizontal="center" vertical="center" wrapText="1"/>
    </xf>
    <xf numFmtId="0" fontId="9" fillId="2" borderId="27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9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top" wrapText="1"/>
    </xf>
    <xf numFmtId="0" fontId="6" fillId="5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6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9" fillId="6" borderId="0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6" fillId="5" borderId="0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3" borderId="0" pivotButton="0" quotePrefix="0" xfId="0"/>
    <xf numFmtId="0" fontId="6" fillId="3" borderId="1" pivotButton="0" quotePrefix="0" xfId="0"/>
    <xf numFmtId="0" fontId="6" fillId="4" borderId="19" applyAlignment="1" pivotButton="0" quotePrefix="0" xfId="0">
      <alignment vertical="top" wrapText="1"/>
    </xf>
    <xf numFmtId="0" fontId="6" fillId="4" borderId="20" applyAlignment="1" pivotButton="0" quotePrefix="0" xfId="0">
      <alignment vertical="top" wrapText="1"/>
    </xf>
    <xf numFmtId="164" fontId="6" fillId="4" borderId="20" applyAlignment="1" pivotButton="0" quotePrefix="0" xfId="0">
      <alignment vertical="top" wrapText="1"/>
    </xf>
    <xf numFmtId="0" fontId="6" fillId="4" borderId="21" applyAlignment="1" pivotButton="0" quotePrefix="0" xfId="0">
      <alignment vertical="top" wrapText="1"/>
    </xf>
    <xf numFmtId="0" fontId="6" fillId="4" borderId="22" applyAlignment="1" pivotButton="0" quotePrefix="0" xfId="0">
      <alignment vertical="top" wrapText="1"/>
    </xf>
    <xf numFmtId="0" fontId="6" fillId="4" borderId="23" applyAlignment="1" pivotButton="0" quotePrefix="0" xfId="0">
      <alignment vertical="top" wrapText="1"/>
    </xf>
    <xf numFmtId="164" fontId="6" fillId="4" borderId="23" applyAlignment="1" pivotButton="0" quotePrefix="0" xfId="0">
      <alignment vertical="top" wrapText="1"/>
    </xf>
    <xf numFmtId="0" fontId="6" fillId="4" borderId="24" applyAlignment="1" pivotButton="0" quotePrefix="0" xfId="0">
      <alignment vertical="top" wrapText="1"/>
    </xf>
    <xf numFmtId="0" fontId="6" fillId="4" borderId="28" applyAlignment="1" pivotButton="0" quotePrefix="0" xfId="0">
      <alignment vertical="top" wrapText="1"/>
    </xf>
    <xf numFmtId="0" fontId="6" fillId="4" borderId="29" applyAlignment="1" pivotButton="0" quotePrefix="0" xfId="0">
      <alignment vertical="top" wrapText="1"/>
    </xf>
    <xf numFmtId="164" fontId="6" fillId="4" borderId="29" applyAlignment="1" pivotButton="0" quotePrefix="0" xfId="0">
      <alignment vertical="top" wrapText="1"/>
    </xf>
    <xf numFmtId="0" fontId="6" fillId="4" borderId="30" applyAlignment="1" pivotButton="0" quotePrefix="0" xfId="0">
      <alignment vertical="top" wrapText="1"/>
    </xf>
    <xf numFmtId="0" fontId="6" fillId="4" borderId="31" applyAlignment="1" pivotButton="0" quotePrefix="0" xfId="0">
      <alignment vertical="top" wrapText="1"/>
    </xf>
    <xf numFmtId="0" fontId="6" fillId="4" borderId="32" applyAlignment="1" pivotButton="0" quotePrefix="0" xfId="0">
      <alignment vertical="top" wrapText="1"/>
    </xf>
    <xf numFmtId="164" fontId="6" fillId="4" borderId="32" applyAlignment="1" pivotButton="0" quotePrefix="0" xfId="0">
      <alignment vertical="top" wrapText="1"/>
    </xf>
    <xf numFmtId="0" fontId="6" fillId="4" borderId="33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9" fillId="5" borderId="14" applyAlignment="1" pivotButton="0" quotePrefix="0" xfId="0">
      <alignment vertical="top" wrapText="1"/>
    </xf>
    <xf numFmtId="0" fontId="9" fillId="5" borderId="15" applyAlignment="1" pivotButton="0" quotePrefix="0" xfId="0">
      <alignment vertical="top" wrapText="1"/>
    </xf>
    <xf numFmtId="0" fontId="0" fillId="0" borderId="0" pivotButton="0" quotePrefix="0" xfId="0"/>
    <xf numFmtId="0" fontId="6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vertical="center" wrapText="1"/>
    </xf>
    <xf numFmtId="164" fontId="6" fillId="4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1" fillId="8" borderId="0" applyAlignment="1" pivotButton="0" quotePrefix="0" xfId="0">
      <alignment horizontal="left" vertical="center"/>
    </xf>
    <xf numFmtId="0" fontId="6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left"/>
    </xf>
    <xf numFmtId="0" fontId="6" fillId="9" borderId="0" applyAlignment="1" pivotButton="0" quotePrefix="0" xfId="0">
      <alignment vertical="center" wrapText="1"/>
    </xf>
    <xf numFmtId="0" fontId="6" fillId="9" borderId="0" pivotButton="0" quotePrefix="0" xfId="0"/>
    <xf numFmtId="0" fontId="2" fillId="9" borderId="0" applyAlignment="1" pivotButton="0" quotePrefix="0" xfId="0">
      <alignment vertical="center" wrapText="1"/>
    </xf>
    <xf numFmtId="0" fontId="2" fillId="9" borderId="0" pivotButton="0" quotePrefix="0" xfId="0"/>
    <xf numFmtId="0" fontId="2" fillId="9" borderId="0" applyAlignment="1" pivotButton="0" quotePrefix="0" xfId="0">
      <alignment wrapText="1"/>
    </xf>
    <xf numFmtId="0" fontId="3" fillId="8" borderId="2" applyAlignment="1" pivotButton="0" quotePrefix="0" xfId="0">
      <alignment horizontal="center" vertical="center" wrapText="1"/>
    </xf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3" fillId="8" borderId="0" applyAlignment="1" pivotButton="0" quotePrefix="0" xfId="0">
      <alignment horizontal="center" wrapText="1"/>
    </xf>
    <xf numFmtId="0" fontId="3" fillId="8" borderId="0" applyAlignment="1" pivotButton="0" quotePrefix="0" xfId="0">
      <alignment horizontal="center" vertical="center" wrapText="1"/>
    </xf>
    <xf numFmtId="0" fontId="6" fillId="10" borderId="2" applyAlignment="1" pivotButton="0" quotePrefix="0" xfId="0">
      <alignment vertical="top" wrapText="1"/>
    </xf>
    <xf numFmtId="164" fontId="6" fillId="10" borderId="2" applyAlignment="1" pivotButton="0" quotePrefix="0" xfId="0">
      <alignment vertical="top" wrapText="1"/>
    </xf>
    <xf numFmtId="0" fontId="6" fillId="10" borderId="0" pivotButton="0" quotePrefix="0" xfId="0"/>
    <xf numFmtId="0" fontId="6" fillId="10" borderId="0" applyAlignment="1" pivotButton="0" quotePrefix="0" xfId="0">
      <alignment wrapText="1"/>
    </xf>
    <xf numFmtId="0" fontId="6" fillId="10" borderId="0" applyAlignment="1" pivotButton="0" quotePrefix="0" xfId="0">
      <alignment vertical="top" wrapText="1"/>
    </xf>
    <xf numFmtId="164" fontId="6" fillId="10" borderId="0" applyAlignment="1" pivotButton="0" quotePrefix="0" xfId="0">
      <alignment vertical="top" wrapText="1"/>
    </xf>
    <xf numFmtId="0" fontId="3" fillId="8" borderId="34" applyAlignment="1" pivotButton="0" quotePrefix="0" xfId="0">
      <alignment horizontal="center" vertical="center" wrapText="1"/>
    </xf>
    <xf numFmtId="0" fontId="3" fillId="8" borderId="35" applyAlignment="1" pivotButton="0" quotePrefix="0" xfId="0">
      <alignment horizontal="center" vertical="center" wrapText="1"/>
    </xf>
    <xf numFmtId="0" fontId="3" fillId="8" borderId="36" applyAlignment="1" pivotButton="0" quotePrefix="0" xfId="0">
      <alignment horizontal="center" vertical="center" wrapText="1"/>
    </xf>
    <xf numFmtId="0" fontId="6" fillId="10" borderId="37" applyAlignment="1" pivotButton="0" quotePrefix="0" xfId="0">
      <alignment vertical="top" wrapText="1"/>
    </xf>
    <xf numFmtId="0" fontId="6" fillId="10" borderId="38" applyAlignment="1" pivotButton="0" quotePrefix="0" xfId="0">
      <alignment vertical="top" wrapText="1"/>
    </xf>
    <xf numFmtId="164" fontId="6" fillId="10" borderId="38" applyAlignment="1" pivotButton="0" quotePrefix="0" xfId="0">
      <alignment vertical="top" wrapText="1"/>
    </xf>
    <xf numFmtId="0" fontId="6" fillId="10" borderId="39" applyAlignment="1" pivotButton="0" quotePrefix="0" xfId="0">
      <alignment vertical="top" wrapText="1"/>
    </xf>
    <xf numFmtId="0" fontId="6" fillId="10" borderId="40" applyAlignment="1" pivotButton="0" quotePrefix="0" xfId="0">
      <alignment vertical="top" wrapText="1"/>
    </xf>
    <xf numFmtId="0" fontId="6" fillId="10" borderId="41" applyAlignment="1" pivotButton="0" quotePrefix="0" xfId="0">
      <alignment vertical="top" wrapText="1"/>
    </xf>
    <xf numFmtId="164" fontId="6" fillId="10" borderId="41" applyAlignment="1" pivotButton="0" quotePrefix="0" xfId="0">
      <alignment vertical="top" wrapText="1"/>
    </xf>
    <xf numFmtId="0" fontId="6" fillId="10" borderId="42" applyAlignment="1" pivotButton="0" quotePrefix="0" xfId="0">
      <alignment vertical="top" wrapText="1"/>
    </xf>
    <xf numFmtId="0" fontId="5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 wrapText="1"/>
    </xf>
    <xf numFmtId="0" fontId="4" fillId="10" borderId="2" applyAlignment="1" pivotButton="0" quotePrefix="0" xfId="0">
      <alignment horizontal="center" vertical="center"/>
    </xf>
    <xf numFmtId="0" fontId="6" fillId="10" borderId="0" applyAlignment="1" pivotButton="0" quotePrefix="0" xfId="0">
      <alignment vertical="center" wrapText="1"/>
    </xf>
    <xf numFmtId="0" fontId="10" fillId="10" borderId="2" applyAlignment="1" pivotButton="0" quotePrefix="0" xfId="0">
      <alignment horizontal="center" vertical="center"/>
    </xf>
    <xf numFmtId="0" fontId="10" fillId="10" borderId="0" pivotButton="0" quotePrefix="0" xfId="0"/>
    <xf numFmtId="0" fontId="10" fillId="10" borderId="0" applyAlignment="1" pivotButton="0" quotePrefix="0" xfId="0">
      <alignment vertical="center" wrapText="1"/>
    </xf>
    <xf numFmtId="0" fontId="10" fillId="10" borderId="0" applyAlignment="1" pivotButton="0" quotePrefix="0" xfId="0">
      <alignment horizontal="center"/>
    </xf>
    <xf numFmtId="0" fontId="10" fillId="10" borderId="0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vertical="center"/>
    </xf>
    <xf numFmtId="0" fontId="9" fillId="10" borderId="2" applyAlignment="1" pivotButton="0" quotePrefix="0" xfId="0">
      <alignment vertical="top" wrapText="1"/>
    </xf>
    <xf numFmtId="0" fontId="9" fillId="10" borderId="0" applyAlignment="1" pivotButton="0" quotePrefix="0" xfId="0">
      <alignment vertical="top" wrapText="1"/>
    </xf>
    <xf numFmtId="0" fontId="7" fillId="11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vertical="top" wrapText="1"/>
    </xf>
    <xf numFmtId="0" fontId="6" fillId="11" borderId="0" pivotButton="0" quotePrefix="0" xfId="0"/>
    <xf numFmtId="0" fontId="5" fillId="11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vertical="top" wrapText="1"/>
    </xf>
    <xf numFmtId="0" fontId="5" fillId="11" borderId="0" pivotButton="0" quotePrefix="0" xfId="0"/>
    <xf numFmtId="0" fontId="5" fillId="11" borderId="0" applyAlignment="1" pivotButton="0" quotePrefix="0" xfId="0">
      <alignment vertical="center" wrapText="1"/>
    </xf>
    <xf numFmtId="0" fontId="7" fillId="10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top" wrapText="1"/>
    </xf>
    <xf numFmtId="0" fontId="9" fillId="12" borderId="0" applyAlignment="1" pivotButton="0" quotePrefix="0" xfId="0">
      <alignment horizontal="center" vertical="top" wrapText="1"/>
    </xf>
    <xf numFmtId="0" fontId="6" fillId="12" borderId="0" applyAlignment="1" pivotButton="0" quotePrefix="0" xfId="0">
      <alignment vertical="top" wrapText="1"/>
    </xf>
    <xf numFmtId="0" fontId="7" fillId="12" borderId="0" applyAlignment="1" pivotButton="0" quotePrefix="0" xfId="0">
      <alignment horizontal="center" vertical="top" wrapText="1"/>
    </xf>
    <xf numFmtId="0" fontId="7" fillId="12" borderId="0" applyAlignment="1" pivotButton="0" quotePrefix="0" xfId="0">
      <alignment vertical="top" wrapText="1"/>
    </xf>
    <xf numFmtId="0" fontId="7" fillId="12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8" fillId="12" borderId="0" applyAlignment="1" pivotButton="0" quotePrefix="0" xfId="0">
      <alignment vertical="top" wrapText="1"/>
    </xf>
    <xf numFmtId="0" fontId="6" fillId="2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wrapText="1"/>
    </xf>
    <xf numFmtId="0" fontId="5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10" fillId="4" borderId="0" applyAlignment="1" pivotButton="0" quotePrefix="0" xfId="0">
      <alignment horizontal="center" vertical="center"/>
    </xf>
    <xf numFmtId="0" fontId="10" fillId="4" borderId="0" pivotButton="0" quotePrefix="0" xfId="0"/>
    <xf numFmtId="0" fontId="10" fillId="4" borderId="0" applyAlignment="1" pivotButton="0" quotePrefix="0" xfId="0">
      <alignment vertical="center" wrapText="1"/>
    </xf>
    <xf numFmtId="0" fontId="10" fillId="4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vertical="top" wrapText="1"/>
    </xf>
    <xf numFmtId="0" fontId="7" fillId="5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top" wrapText="1"/>
    </xf>
    <xf numFmtId="164" fontId="6" fillId="4" borderId="34" applyAlignment="1" pivotButton="0" quotePrefix="0" xfId="0">
      <alignment vertical="top" wrapText="1"/>
    </xf>
    <xf numFmtId="164" fontId="6" fillId="0" borderId="0" pivotButton="0" quotePrefix="0" xfId="0"/>
    <xf numFmtId="0" fontId="0" fillId="13" borderId="0" pivotButton="0" quotePrefix="0" xfId="0"/>
    <xf numFmtId="0" fontId="11" fillId="13" borderId="0" pivotButton="0" quotePrefix="0" xfId="0"/>
    <xf numFmtId="0" fontId="11" fillId="13" borderId="0" applyAlignment="1" pivotButton="0" quotePrefix="0" xfId="0">
      <alignment vertical="center"/>
    </xf>
    <xf numFmtId="0" fontId="3" fillId="13" borderId="0" pivotButton="0" quotePrefix="0" xfId="0"/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6" fillId="14" borderId="0" pivotButton="0" quotePrefix="0" xfId="0"/>
    <xf numFmtId="0" fontId="6" fillId="14" borderId="0" applyAlignment="1" pivotButton="0" quotePrefix="0" xfId="0">
      <alignment wrapText="1"/>
    </xf>
    <xf numFmtId="0" fontId="6" fillId="14" borderId="0" applyAlignment="1" pivotButton="0" quotePrefix="0" xfId="0">
      <alignment vertical="top" wrapText="1"/>
    </xf>
    <xf numFmtId="0" fontId="11" fillId="2" borderId="0" pivotButton="0" quotePrefix="0" xfId="0"/>
    <xf numFmtId="0" fontId="11" fillId="2" borderId="0" applyAlignment="1" pivotButton="0" quotePrefix="0" xfId="0">
      <alignment vertical="center"/>
    </xf>
    <xf numFmtId="0" fontId="3" fillId="15" borderId="0" applyAlignment="1" pivotButton="0" quotePrefix="0" xfId="0">
      <alignment horizontal="center" vertical="center" wrapText="1"/>
    </xf>
    <xf numFmtId="0" fontId="6" fillId="16" borderId="0" applyAlignment="1" pivotButton="0" quotePrefix="0" xfId="0">
      <alignment vertical="top" wrapText="1"/>
    </xf>
    <xf numFmtId="164" fontId="6" fillId="16" borderId="0" applyAlignment="1" pivotButton="0" quotePrefix="0" xfId="0">
      <alignment vertical="top" wrapText="1"/>
    </xf>
    <xf numFmtId="0" fontId="6" fillId="16" borderId="0" pivotButton="0" quotePrefix="0" xfId="0"/>
    <xf numFmtId="164" fontId="6" fillId="16" borderId="0" pivotButton="0" quotePrefix="0" xfId="0"/>
    <xf numFmtId="0" fontId="6" fillId="16" borderId="0" applyAlignment="1" pivotButton="0" quotePrefix="0" xfId="0">
      <alignment wrapText="1"/>
    </xf>
    <xf numFmtId="164" fontId="6" fillId="16" borderId="0" applyAlignment="1" pivotButton="0" quotePrefix="0" xfId="0">
      <alignment wrapText="1"/>
    </xf>
    <xf numFmtId="0" fontId="5" fillId="17" borderId="0" applyAlignment="1" pivotButton="0" quotePrefix="0" xfId="0">
      <alignment vertical="center"/>
    </xf>
    <xf numFmtId="0" fontId="9" fillId="16" borderId="0" applyAlignment="1" pivotButton="0" quotePrefix="0" xfId="0">
      <alignment vertical="top" wrapText="1"/>
    </xf>
    <xf numFmtId="0" fontId="5" fillId="16" borderId="0" applyAlignment="1" pivotButton="0" quotePrefix="0" xfId="0">
      <alignment vertical="center" wrapText="1"/>
    </xf>
    <xf numFmtId="0" fontId="2" fillId="16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0" fontId="6" fillId="16" borderId="0" applyAlignment="1" pivotButton="0" quotePrefix="0" xfId="0">
      <alignment vertical="center" wrapText="1"/>
    </xf>
    <xf numFmtId="0" fontId="6" fillId="17" borderId="0" pivotButton="0" quotePrefix="0" xfId="0"/>
    <xf numFmtId="0" fontId="5" fillId="17" borderId="0" pivotButton="0" quotePrefix="0" xfId="0"/>
    <xf numFmtId="0" fontId="6" fillId="18" borderId="0" applyAlignment="1" pivotButton="0" quotePrefix="0" xfId="0">
      <alignment vertical="top" wrapText="1"/>
    </xf>
    <xf numFmtId="0" fontId="7" fillId="18" borderId="0" applyAlignment="1" pivotButton="0" quotePrefix="0" xfId="0">
      <alignment vertical="top" wrapText="1"/>
    </xf>
    <xf numFmtId="0" fontId="7" fillId="18" borderId="0" applyAlignment="1" pivotButton="0" quotePrefix="0" xfId="0">
      <alignment horizontal="center" vertical="top" wrapText="1"/>
    </xf>
    <xf numFmtId="0" fontId="7" fillId="18" borderId="0" applyAlignment="1" pivotButton="0" quotePrefix="0" xfId="0">
      <alignment horizontal="center" vertical="center" wrapText="1"/>
    </xf>
    <xf numFmtId="0" fontId="6" fillId="19" borderId="0" pivotButton="0" quotePrefix="0" xfId="0"/>
    <xf numFmtId="0" fontId="2" fillId="19" borderId="0" pivotButton="0" quotePrefix="0" xfId="0"/>
    <xf numFmtId="0" fontId="2" fillId="19" borderId="0" applyAlignment="1" pivotButton="0" quotePrefix="0" xfId="0">
      <alignment wrapText="1"/>
    </xf>
    <xf numFmtId="0" fontId="2" fillId="19" borderId="0" applyAlignment="1" pivotButton="0" quotePrefix="0" xfId="0">
      <alignment vertical="center" wrapText="1"/>
    </xf>
    <xf numFmtId="0" fontId="6" fillId="15" borderId="0" pivotButton="0" quotePrefix="0" xfId="0"/>
    <xf numFmtId="0" fontId="3" fillId="15" borderId="0" pivotButton="0" quotePrefix="0" xfId="0"/>
    <xf numFmtId="0" fontId="3" fillId="15" borderId="0" applyAlignment="1" pivotButton="0" quotePrefix="0" xfId="0">
      <alignment wrapText="1"/>
    </xf>
    <xf numFmtId="0" fontId="3" fillId="15" borderId="0" applyAlignment="1" pivotButton="0" quotePrefix="0" xfId="0">
      <alignment horizontal="center" wrapText="1"/>
    </xf>
    <xf numFmtId="0" fontId="1" fillId="8" borderId="42" applyAlignment="1" pivotButton="0" quotePrefix="0" xfId="0">
      <alignment horizontal="left" vertical="center"/>
    </xf>
    <xf numFmtId="0" fontId="0" fillId="0" borderId="42" pivotButton="0" quotePrefix="0" xfId="0"/>
    <xf numFmtId="0" fontId="2" fillId="9" borderId="42" applyAlignment="1" pivotButton="0" quotePrefix="0" xfId="0">
      <alignment vertical="center" wrapText="1"/>
    </xf>
    <xf numFmtId="0" fontId="5" fillId="11" borderId="42" applyAlignment="1" pivotButton="0" quotePrefix="0" xfId="0">
      <alignment vertical="center"/>
    </xf>
    <xf numFmtId="0" fontId="5" fillId="17" borderId="42" applyAlignment="1" pivotButton="0" quotePrefix="0" xfId="0">
      <alignment vertical="center"/>
    </xf>
    <xf numFmtId="0" fontId="2" fillId="19" borderId="42" applyAlignment="1" pivotButton="0" quotePrefix="0" xfId="0">
      <alignment vertical="center" wrapText="1"/>
    </xf>
    <xf numFmtId="164" fontId="6" fillId="16" borderId="0" applyAlignment="1" pivotButton="0" quotePrefix="0" xfId="0">
      <alignment vertical="top" wrapText="1"/>
    </xf>
    <xf numFmtId="0" fontId="1" fillId="2" borderId="42" applyAlignment="1" pivotButton="0" quotePrefix="0" xfId="0">
      <alignment horizontal="left" vertical="center"/>
    </xf>
    <xf numFmtId="0" fontId="5" fillId="5" borderId="42" applyAlignment="1" pivotButton="0" quotePrefix="0" xfId="0">
      <alignment vertical="center"/>
    </xf>
    <xf numFmtId="0" fontId="9" fillId="7" borderId="42" applyAlignment="1" pivotButton="0" quotePrefix="0" xfId="0">
      <alignment vertical="center" wrapText="1"/>
    </xf>
    <xf numFmtId="0" fontId="11" fillId="13" borderId="42" applyAlignment="1" pivotButton="0" quotePrefix="0" xfId="0">
      <alignment vertical="center"/>
    </xf>
  </cellXfs>
  <cellStyles count="1">
    <cellStyle name="Normal" xfId="0"/>
  </cellStyles>
  <dxfs count="25">
    <dxf>
      <font>
        <b val="1"/>
        <color rgb="FF4A3428"/>
      </font>
      <fill>
        <patternFill>
          <bgColor rgb="FFF8E8B9"/>
        </patternFill>
      </fill>
    </dxf>
    <dxf>
      <font>
        <b val="1"/>
        <color rgb="FF4A3428"/>
      </font>
      <fill>
        <patternFill>
          <bgColor rgb="FFE7ECD8"/>
        </patternFill>
      </fill>
    </dxf>
    <dxf>
      <font>
        <b val="1"/>
        <color rgb="FF4A3428"/>
      </font>
      <fill>
        <patternFill>
          <bgColor rgb="FFF2DED2"/>
        </patternFill>
      </fill>
    </dxf>
    <dxf>
      <font>
        <b val="1"/>
        <color rgb="FF4A3428"/>
      </font>
      <fill>
        <patternFill>
          <bgColor rgb="FFE7ECD8"/>
        </patternFill>
      </fill>
    </dxf>
    <dxf>
      <font>
        <b val="1"/>
        <color rgb="FF4A3428"/>
      </font>
      <fill>
        <patternFill>
          <bgColor rgb="FFF8E8B9"/>
        </patternFill>
      </fill>
    </dxf>
    <dxf>
      <font>
        <b val="1"/>
        <color rgb="FF4A3428"/>
      </font>
      <fill>
        <patternFill>
          <bgColor rgb="FFE7ECD8"/>
        </patternFill>
      </fill>
    </dxf>
    <dxf>
      <font>
        <b val="1"/>
        <color rgb="FF4A3428"/>
      </font>
      <fill>
        <patternFill>
          <bgColor rgb="FFF8E8B9"/>
        </patternFill>
      </fill>
    </dxf>
    <dxf>
      <font>
        <b val="1"/>
        <color rgb="FF4A3428"/>
      </font>
      <fill>
        <patternFill>
          <bgColor rgb="FFE7ECD8"/>
        </patternFill>
      </fill>
    </dxf>
    <dxf>
      <font>
        <b val="1"/>
        <color rgb="FF4A3428"/>
      </font>
      <fill>
        <patternFill>
          <bgColor rgb="FFF2DED2"/>
        </patternFill>
      </fill>
    </dxf>
    <dxf>
      <font>
        <b val="1"/>
        <color rgb="FF4A3428"/>
      </font>
      <fill>
        <patternFill>
          <bgColor rgb="FFE7ECD8"/>
        </patternFill>
      </fill>
    </dxf>
    <dxf>
      <font>
        <b val="1"/>
        <color rgb="FF4A3428"/>
      </font>
      <fill>
        <patternFill>
          <bgColor rgb="FFF8E8B9"/>
        </patternFill>
      </fill>
    </dxf>
    <dxf>
      <font>
        <b val="1"/>
        <color rgb="FF4A3428"/>
      </font>
      <fill>
        <patternFill>
          <bgColor rgb="FFE7ECD8"/>
        </patternFill>
      </fill>
    </dxf>
    <dxf>
      <font>
        <b val="1"/>
        <color rgb="FF4A3428"/>
      </font>
      <fill>
        <patternFill>
          <bgColor rgb="FFF8E8B9"/>
        </patternFill>
      </fill>
    </dxf>
    <dxf>
      <font>
        <b val="1"/>
        <color rgb="FF4A3428"/>
      </font>
      <fill>
        <patternFill>
          <bgColor rgb="FFE7ECD8"/>
        </patternFill>
      </fill>
    </dxf>
    <dxf>
      <font>
        <b val="1"/>
        <color rgb="FF4A3428"/>
      </font>
      <fill>
        <patternFill>
          <bgColor rgb="FFF2DED2"/>
        </patternFill>
      </fill>
    </dxf>
    <dxf>
      <font>
        <b val="1"/>
        <color rgb="FF2F2924"/>
      </font>
      <fill>
        <patternFill>
          <bgColor rgb="FFEAF1EE"/>
        </patternFill>
      </fill>
    </dxf>
    <dxf>
      <font>
        <b val="1"/>
        <color rgb="FF4A3428"/>
      </font>
      <fill>
        <patternFill>
          <bgColor rgb="FFE7ECD8"/>
        </patternFill>
      </fill>
    </dxf>
    <dxf>
      <font>
        <b val="1"/>
        <color rgb="FF4A3428"/>
      </font>
      <fill>
        <patternFill>
          <bgColor rgb="FFF8E8B9"/>
        </patternFill>
      </fill>
    </dxf>
    <dxf>
      <font>
        <b val="1"/>
        <color rgb="FF4A3428"/>
      </font>
      <fill>
        <patternFill>
          <bgColor rgb="FFE7ECD8"/>
        </patternFill>
      </fill>
    </dxf>
    <dxf>
      <font>
        <b val="1"/>
        <color rgb="FF4A3428"/>
      </font>
      <fill>
        <patternFill>
          <bgColor rgb="FFF8E8B9"/>
        </patternFill>
      </fill>
    </dxf>
    <dxf>
      <font>
        <b val="1"/>
        <color rgb="FF4A3428"/>
      </font>
      <fill>
        <patternFill>
          <bgColor rgb="FFE7ECD8"/>
        </patternFill>
      </fill>
    </dxf>
    <dxf>
      <font>
        <b val="1"/>
        <color rgb="FF4A3428"/>
      </font>
      <fill>
        <patternFill patternType="solid">
          <bgColor rgb="FFF8E8B9"/>
        </patternFill>
      </fill>
    </dxf>
    <dxf>
      <font>
        <b val="1"/>
        <color rgb="FF4A3428"/>
      </font>
      <fill>
        <patternFill patternType="solid">
          <bgColor rgb="FFE7ECD8"/>
        </patternFill>
      </fill>
    </dxf>
    <dxf>
      <font>
        <b val="1"/>
        <color rgb="FF4A3428"/>
      </font>
      <fill>
        <patternFill patternType="solid">
          <bgColor rgb="FFF2DED2"/>
        </patternFill>
      </fill>
    </dxf>
    <dxf>
      <font>
        <b val="1"/>
        <color rgb="FF4A3428"/>
      </font>
      <fill>
        <patternFill patternType="solid">
          <bgColor rgb="FFE7ECD8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Resources by primary category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>
              <a:prstDash val="solid"/>
            </a:ln>
          </spPr>
          <cat>
            <strRef>
              <f>'Start Here'!$G$14:$G$25</f>
              <strCache>
                <ptCount val="0"/>
              </strCache>
            </strRef>
          </cat>
          <val>
            <numRef>
              <f>'Start Here'!$H$14:$H$25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34</row>
      <rowOff>0</rowOff>
    </from>
    <to>
      <col>8</col>
      <colOff>0</colOff>
      <row>52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esourceDirectoryTable" displayName="ResourceDirectoryTable" ref="A5:S144" headerRowCount="1">
  <tableColumns count="19">
    <tableColumn id="1" name="ID"/>
    <tableColumn id="2" name="Support areas"/>
    <tableColumn id="3" name="Resource / program"/>
    <tableColumn id="4" name="Foster-care specific?"/>
    <tableColumn id="5" name="Priority"/>
    <tableColumn id="6" name="Best for / referral trigger"/>
    <tableColumn id="7" name="Age / eligibility"/>
    <tableColumn id="8" name="What it provides"/>
    <tableColumn id="9" name="How to access"/>
    <tableColumn id="10" name="Phone"/>
    <tableColumn id="11" name="Location / service area"/>
    <tableColumn id="12" name="Capacity / verification caveat"/>
    <tableColumn id="13" name="Official source URL"/>
    <tableColumn id="14" name="Last verified"/>
    <tableColumn id="15" name="FARM127 referral status"/>
    <tableColumn id="16" name="FARM127 notes"/>
    <tableColumn id="17" name="Area"/>
    <tableColumn id="18" name="Area group"/>
    <tableColumn id="19" name="Radius / service-area note"/>
  </tableColumns>
  <tableStyleInfo name="TableStyleMedium2" showRowStripes="1"/>
</table>
</file>

<file path=xl/tables/table2.xml><?xml version="1.0" encoding="utf-8"?>
<table xmlns="http://schemas.openxmlformats.org/spreadsheetml/2006/main" id="2" name="FosterProgramsTable" displayName="FosterProgramsTable" ref="A6:F24" headerRowCount="1">
  <tableColumns count="6">
    <tableColumn id="1" name="Program"/>
    <tableColumn id="2" name="Age window"/>
    <tableColumn id="3" name="Eligibility trigger"/>
    <tableColumn id="4" name="Primary value"/>
    <tableColumn id="5" name="FARM127 action"/>
    <tableColumn id="6" name="Official source URL"/>
  </tableColumns>
  <tableStyleInfo name="TableStyleMedium2" showRowStripes="1"/>
</table>
</file>

<file path=xl/tables/table3.xml><?xml version="1.0" encoding="utf-8"?>
<table xmlns="http://schemas.openxmlformats.org/spreadsheetml/2006/main" id="3" name="NeedsMapTable" displayName="NeedsMapTable" ref="A6:D22" headerRowCount="1">
  <tableColumns count="4">
    <tableColumn id="1" name="Support-plan domain"/>
    <tableColumn id="2" name="Primary referral options"/>
    <tableColumn id="3" name="Backup / specialist options"/>
    <tableColumn id="4" name="Referral strategy"/>
  </tableColumns>
  <tableStyleInfo name="TableStyleMedium2" showRowStripes="1"/>
</table>
</file>

<file path=xl/tables/table4.xml><?xml version="1.0" encoding="utf-8"?>
<table xmlns="http://schemas.openxmlformats.org/spreadsheetml/2006/main" id="4" name="PartnershipTable" displayName="PartnershipTable" ref="A6:H27" headerRowCount="1">
  <tableColumns count="8">
    <tableColumn id="1" name="Organization"/>
    <tableColumn id="2" name="Why strategic"/>
    <tableColumn id="3" name="Suggested first ask"/>
    <tableColumn id="4" name="Referral pathway to document"/>
    <tableColumn id="5" name="Priority"/>
    <tableColumn id="6" name="Status"/>
    <tableColumn id="7" name="Owner"/>
    <tableColumn id="8" name="Notes"/>
  </tableColumns>
  <tableStyleInfo name="TableStyleMedium2" showRowStripes="1"/>
</table>
</file>

<file path=xl/tables/table5.xml><?xml version="1.0" encoding="utf-8"?>
<table xmlns="http://schemas.openxmlformats.org/spreadsheetml/2006/main" id="5" name="ExpansionTable" displayName="ExpansionTable" ref="A6:H43" headerRowCount="1">
  <tableColumns count="8">
    <tableColumn id="1" name="ID"/>
    <tableColumn id="2" name="Organization"/>
    <tableColumn id="3" name="Area"/>
    <tableColumn id="4" name="Support areas"/>
    <tableColumn id="5" name="Foster-specific?"/>
    <tableColumn id="6" name="Best use"/>
    <tableColumn id="7" name="Key limitation"/>
    <tableColumn id="8" name="Official source 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188" min="1" max="1"/>
    <col width="32" customWidth="1" style="188" min="2" max="2"/>
    <col width="18" customWidth="1" style="188" min="3" max="3"/>
    <col width="31" customWidth="1" style="188" min="4" max="4"/>
    <col width="34" customWidth="1" style="188" min="5" max="5"/>
    <col width="16" customWidth="1" style="188" min="6" max="6"/>
    <col width="31" customWidth="1" style="188" min="7" max="7"/>
    <col width="13" customWidth="1" style="188" min="8" max="8"/>
  </cols>
  <sheetData>
    <row r="1" ht="28" customHeight="1" s="188">
      <c r="A1" s="322" t="inlineStr">
        <is>
          <t>the program Charlotte-Area Young Adult Resource Directory</t>
        </is>
      </c>
      <c r="B1" s="323" t="n"/>
      <c r="C1" s="323" t="n"/>
      <c r="D1" s="323" t="n"/>
      <c r="E1" s="323" t="n"/>
      <c r="F1" s="323" t="n"/>
      <c r="G1" s="323" t="n"/>
      <c r="H1" s="323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</row>
    <row r="2" ht="28" customHeight="1" s="188">
      <c r="A2" s="323" t="n"/>
      <c r="B2" s="323" t="n"/>
      <c r="C2" s="323" t="n"/>
      <c r="D2" s="323" t="n"/>
      <c r="E2" s="323" t="n"/>
      <c r="F2" s="323" t="n"/>
      <c r="G2" s="323" t="n"/>
      <c r="H2" s="323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52" t="n"/>
      <c r="Z2" s="52" t="n"/>
    </row>
    <row r="3" ht="34" customHeight="1" s="188">
      <c r="A3" s="324" t="inlineStr">
        <is>
          <t>Verified August 5, 2026. This directory includes 139 resources classified through one unified Support areas field.</t>
        </is>
      </c>
      <c r="B3" s="323" t="n"/>
      <c r="C3" s="323" t="n"/>
      <c r="D3" s="323" t="n"/>
      <c r="E3" s="323" t="n"/>
      <c r="F3" s="323" t="n"/>
      <c r="G3" s="323" t="n"/>
      <c r="H3" s="323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2" t="n"/>
      <c r="Y3" s="52" t="n"/>
      <c r="Z3" s="52" t="n"/>
    </row>
    <row r="4" ht="34" customHeight="1" s="188">
      <c r="A4" s="323" t="n"/>
      <c r="B4" s="323" t="n"/>
      <c r="C4" s="323" t="n"/>
      <c r="D4" s="323" t="n"/>
      <c r="E4" s="323" t="n"/>
      <c r="F4" s="323" t="n"/>
      <c r="G4" s="323" t="n"/>
      <c r="H4" s="323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</row>
    <row r="5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2" t="n"/>
    </row>
    <row r="6" ht="30" customHeight="1" s="188">
      <c r="A6" s="204" t="inlineStr">
        <is>
          <t>Resources</t>
        </is>
      </c>
      <c r="B6" s="204" t="inlineStr">
        <is>
          <t>Foster-specific</t>
        </is>
      </c>
      <c r="C6" s="204" t="inlineStr">
        <is>
          <t>Mentorship</t>
        </is>
      </c>
      <c r="D6" s="204" t="inlineStr">
        <is>
          <t>Soft / life skills</t>
        </is>
      </c>
      <c r="E6" s="208" t="inlineStr">
        <is>
          <t>Local / nearby</t>
        </is>
      </c>
      <c r="F6" s="208" t="inlineStr">
        <is>
          <t>Needs verification</t>
        </is>
      </c>
      <c r="G6" s="325" t="inlineStr">
        <is>
          <t>Operating rule</t>
        </is>
      </c>
      <c r="H6" s="323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52" t="n"/>
      <c r="X6" s="52" t="n"/>
      <c r="Y6" s="52" t="n"/>
      <c r="Z6" s="52" t="n"/>
    </row>
    <row r="7" ht="30" customHeight="1" s="188">
      <c r="A7" s="231" t="n">
        <v>139</v>
      </c>
      <c r="B7" s="231" t="n">
        <v>16</v>
      </c>
      <c r="C7" s="231" t="n">
        <v>32</v>
      </c>
      <c r="D7" s="231" t="n">
        <v>70</v>
      </c>
      <c r="E7" s="236" t="n">
        <v>127</v>
      </c>
      <c r="F7" s="235" t="n">
        <v>6</v>
      </c>
      <c r="G7" s="324" t="inlineStr">
        <is>
          <t>Use warm handoffs. Dashboard counts are a verified snapshot of the current directory; confirm provider eligibility and capacity before referral.</t>
        </is>
      </c>
      <c r="H7" s="323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</row>
    <row r="8">
      <c r="A8" s="52" t="n"/>
      <c r="B8" s="52" t="n"/>
      <c r="C8" s="52" t="n"/>
      <c r="D8" s="52" t="n"/>
      <c r="E8" s="52" t="n"/>
      <c r="F8" s="115" t="n"/>
      <c r="G8" s="323" t="n"/>
      <c r="H8" s="323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2" t="n"/>
    </row>
    <row r="9">
      <c r="A9" s="52" t="n"/>
      <c r="B9" s="52" t="n"/>
      <c r="C9" s="52" t="n"/>
      <c r="D9" s="52" t="n"/>
      <c r="E9" s="52" t="n"/>
      <c r="F9" s="115" t="n"/>
      <c r="G9" s="323" t="n"/>
      <c r="H9" s="323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</row>
    <row r="10">
      <c r="A10" s="52" t="n"/>
      <c r="B10" s="52" t="n"/>
      <c r="C10" s="52" t="n"/>
      <c r="D10" s="52" t="n"/>
      <c r="E10" s="52" t="n"/>
      <c r="F10" s="115" t="n"/>
      <c r="G10" s="323" t="n"/>
      <c r="H10" s="323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52" t="n"/>
      <c r="Z10" s="52" t="n"/>
    </row>
    <row r="1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52" t="n"/>
      <c r="Z11" s="52" t="n"/>
    </row>
    <row r="12">
      <c r="A12" s="325" t="inlineStr">
        <is>
          <t>Urgent triage — where to start</t>
        </is>
      </c>
      <c r="B12" s="323" t="n"/>
      <c r="C12" s="323" t="n"/>
      <c r="D12" s="323" t="n"/>
      <c r="E12" s="323" t="n"/>
      <c r="F12" s="119" t="n"/>
      <c r="G12" s="326" t="inlineStr">
        <is>
          <t>Support area coverage</t>
        </is>
      </c>
      <c r="H12" s="323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2" t="n"/>
      <c r="Z12" s="52" t="n"/>
    </row>
    <row r="13" ht="48" customHeight="1" s="188">
      <c r="A13" s="204" t="inlineStr">
        <is>
          <t>Situation</t>
        </is>
      </c>
      <c r="B13" s="204" t="inlineStr">
        <is>
          <t>First action</t>
        </is>
      </c>
      <c r="C13" s="204" t="inlineStr">
        <is>
          <t>Phone</t>
        </is>
      </c>
      <c r="D13" s="204" t="inlineStr">
        <is>
          <t>Backup / next step</t>
        </is>
      </c>
      <c r="E13" s="204" t="inlineStr">
        <is>
          <t>Important limit</t>
        </is>
      </c>
      <c r="F13" s="52" t="n"/>
      <c r="G13" s="295" t="inlineStr">
        <is>
          <t>Support area</t>
        </is>
      </c>
      <c r="H13" s="295" t="inlineStr">
        <is>
          <t>Count</t>
        </is>
      </c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52" t="n"/>
      <c r="Z13" s="52" t="n"/>
    </row>
    <row r="14" ht="48" customHeight="1" s="188">
      <c r="A14" s="209" t="inlineStr">
        <is>
          <t>Immediate danger, overdose, violence or serious injury</t>
        </is>
      </c>
      <c r="B14" s="209" t="inlineStr">
        <is>
          <t>Call 911</t>
        </is>
      </c>
      <c r="C14" s="209" t="inlineStr">
        <is>
          <t>911</t>
        </is>
      </c>
      <c r="D14" s="209" t="inlineStr">
        <is>
          <t>Use Safe Alliance, trafficking or crisis resources after immediate safety is addressed.</t>
        </is>
      </c>
      <c r="E14" s="209" t="inlineStr">
        <is>
          <t>Do not use a routine referral process for an active emergency.</t>
        </is>
      </c>
      <c r="F14" s="52" t="n"/>
      <c r="G14" s="296" t="inlineStr">
        <is>
          <t>Navigation / case management</t>
        </is>
      </c>
      <c r="H14" s="296" t="n">
        <v>11</v>
      </c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</row>
    <row r="15" ht="48" customHeight="1" s="188">
      <c r="A15" s="209" t="inlineStr">
        <is>
          <t>Suicidal thoughts or acute mental-health crisis</t>
        </is>
      </c>
      <c r="B15" s="209" t="inlineStr">
        <is>
          <t>Call/text 988</t>
        </is>
      </c>
      <c r="C15" s="209" t="inlineStr">
        <is>
          <t>988</t>
        </is>
      </c>
      <c r="D15" s="209" t="inlineStr">
        <is>
          <t>Mecklenburg Mobile Crisis: 704-566-3410 option 1.</t>
        </is>
      </c>
      <c r="E15" s="209" t="inlineStr">
        <is>
          <t>Call 911 when there is immediate danger or a medical emergency.</t>
        </is>
      </c>
      <c r="F15" s="52" t="n"/>
      <c r="G15" s="296" t="inlineStr">
        <is>
          <t>Foster care</t>
        </is>
      </c>
      <c r="H15" s="296" t="n">
        <v>17</v>
      </c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</row>
    <row r="16" ht="48" customHeight="1" s="188">
      <c r="A16" s="209" t="inlineStr">
        <is>
          <t>Homeless tonight or unsafe place to sleep</t>
        </is>
      </c>
      <c r="B16" s="209" t="inlineStr">
        <is>
          <t>Call Coordinated Entry</t>
        </is>
      </c>
      <c r="C16" s="209" t="inlineStr">
        <is>
          <t>704-284-9665</t>
        </is>
      </c>
      <c r="D16" s="209" t="inlineStr">
        <is>
          <t>Ages 16–24: The Relatives On Ramp; men: Roof Above; women/children: Center of Hope.</t>
        </is>
      </c>
      <c r="E16" s="209" t="inlineStr">
        <is>
          <t>Beds and housing are limited; assessment does not guarantee placement.</t>
        </is>
      </c>
      <c r="F16" s="52" t="n"/>
      <c r="G16" s="296" t="inlineStr">
        <is>
          <t>Housing / homelessness</t>
        </is>
      </c>
      <c r="H16" s="296" t="n">
        <v>63</v>
      </c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</row>
    <row r="17" ht="48" customHeight="1" s="188">
      <c r="A17" s="209" t="inlineStr">
        <is>
          <t>Former foster youth under 21</t>
        </is>
      </c>
      <c r="B17" s="209" t="inlineStr">
        <is>
          <t>Call Mecklenburg LINKS / Phoenix</t>
        </is>
      </c>
      <c r="C17" s="209" t="inlineStr">
        <is>
          <t>704-336-KIDS / 704-336-3290</t>
        </is>
      </c>
      <c r="D17" s="209" t="inlineStr">
        <is>
          <t>Ask about VPA, GEAR Up, Medicaid and foster-specific education funds.</t>
        </is>
      </c>
      <c r="E17" s="209" t="inlineStr">
        <is>
          <t>Many benefits end at 21; act quickly.</t>
        </is>
      </c>
      <c r="F17" s="52" t="n"/>
      <c r="G17" s="296" t="inlineStr">
        <is>
          <t>Food / essentials</t>
        </is>
      </c>
      <c r="H17" s="296" t="n">
        <v>24</v>
      </c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</row>
    <row r="18" ht="48" customHeight="1" s="188">
      <c r="A18" s="209" t="inlineStr">
        <is>
          <t>Ages 16–24 with several practical needs</t>
        </is>
      </c>
      <c r="B18" s="209" t="inlineStr">
        <is>
          <t>The Relatives On Ramp</t>
        </is>
      </c>
      <c r="C18" s="209" t="inlineStr">
        <is>
          <t>704-344-1111</t>
        </is>
      </c>
      <c r="D18" s="209" t="inlineStr">
        <is>
          <t>Use NC 211 and Mecklenburg Community Resource Centers for additional benefits.</t>
        </is>
      </c>
      <c r="E18" s="209" t="inlineStr">
        <is>
          <t>Call before traveling; hours and capacity change.</t>
        </is>
      </c>
      <c r="F18" s="52" t="n"/>
      <c r="G18" s="296" t="inlineStr">
        <is>
          <t>Benefits / financial assistance</t>
        </is>
      </c>
      <c r="H18" s="296" t="n">
        <v>6</v>
      </c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</row>
    <row r="19" ht="48" customHeight="1" s="188">
      <c r="A19" s="209" t="inlineStr">
        <is>
          <t>Domestic violence or sexual assault</t>
        </is>
      </c>
      <c r="B19" s="209" t="inlineStr">
        <is>
          <t>Safe Alliance Hope Line</t>
        </is>
      </c>
      <c r="C19" s="209" t="inlineStr">
        <is>
          <t>980-771-4673</t>
        </is>
      </c>
      <c r="D19" s="209" t="inlineStr">
        <is>
          <t>Call 911 for immediate danger; Legal Aid/Charlotte Legal Advocacy for civil legal help.</t>
        </is>
      </c>
      <c r="E19" s="209" t="inlineStr">
        <is>
          <t>Protect confidential location and contact information.</t>
        </is>
      </c>
      <c r="F19" s="52" t="n"/>
      <c r="G19" s="296" t="inlineStr">
        <is>
          <t>Health care</t>
        </is>
      </c>
      <c r="H19" s="296" t="n">
        <v>43</v>
      </c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</row>
    <row r="20" ht="48" customHeight="1" s="188">
      <c r="A20" s="209" t="inlineStr">
        <is>
          <t>No food or basic household items</t>
        </is>
      </c>
      <c r="B20" s="209" t="inlineStr">
        <is>
          <t>Apply for SNAP and contact Nourish Up</t>
        </is>
      </c>
      <c r="C20" s="209" t="inlineStr">
        <is>
          <t>704-336-3000</t>
        </is>
      </c>
      <c r="D20" s="209" t="inlineStr">
        <is>
          <t>Crisis Assistance Free Store; Second Harvest food locator.</t>
        </is>
      </c>
      <c r="E20" s="209" t="inlineStr">
        <is>
          <t>Emergency food should be paired with a longer-term benefits plan.</t>
        </is>
      </c>
      <c r="F20" s="52" t="n"/>
      <c r="G20" s="296" t="inlineStr">
        <is>
          <t>Mental health / recovery</t>
        </is>
      </c>
      <c r="H20" s="296" t="n">
        <v>31</v>
      </c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</row>
    <row r="21" ht="48" customHeight="1" s="188">
      <c r="A21" s="209" t="inlineStr">
        <is>
          <t>LGBTQ+ young adult needs affirming housing/support</t>
        </is>
      </c>
      <c r="B21" s="209" t="inlineStr">
        <is>
          <t>Time Out Youth</t>
        </is>
      </c>
      <c r="C21" s="209" t="str"/>
      <c r="D21" s="209" t="inlineStr">
        <is>
          <t>The Relatives housing and Coordinated Entry.</t>
        </is>
      </c>
      <c r="E21" s="209" t="inlineStr">
        <is>
          <t>Program age ranges and housing openings vary.</t>
        </is>
      </c>
      <c r="F21" s="52" t="n"/>
      <c r="G21" s="296" t="inlineStr">
        <is>
          <t>Employment / workforce</t>
        </is>
      </c>
      <c r="H21" s="296" t="n">
        <v>50</v>
      </c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</row>
    <row r="22">
      <c r="A22" s="52" t="n"/>
      <c r="B22" s="52" t="n"/>
      <c r="C22" s="52" t="n"/>
      <c r="D22" s="52" t="n"/>
      <c r="E22" s="52" t="n"/>
      <c r="F22" s="52" t="n"/>
      <c r="G22" s="296" t="inlineStr">
        <is>
          <t>Education</t>
        </is>
      </c>
      <c r="H22" s="296" t="n">
        <v>52</v>
      </c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</row>
    <row r="23">
      <c r="A23" s="52" t="n"/>
      <c r="B23" s="52" t="n"/>
      <c r="C23" s="52" t="n"/>
      <c r="D23" s="52" t="n"/>
      <c r="E23" s="52" t="n"/>
      <c r="F23" s="52" t="n"/>
      <c r="G23" s="296" t="inlineStr">
        <is>
          <t>Mentorship</t>
        </is>
      </c>
      <c r="H23" s="296" t="n">
        <v>32</v>
      </c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</row>
    <row r="24">
      <c r="A24" s="119" t="n"/>
      <c r="B24" s="119" t="n"/>
      <c r="C24" s="119" t="n"/>
      <c r="D24" s="119" t="n"/>
      <c r="E24" s="119" t="n"/>
      <c r="F24" s="119" t="n"/>
      <c r="G24" s="303" t="inlineStr">
        <is>
          <t>Soft skills / life skills</t>
        </is>
      </c>
      <c r="H24" s="303" t="n">
        <v>70</v>
      </c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</row>
    <row r="25" ht="40" customHeight="1" s="188">
      <c r="A25" s="125" t="n"/>
      <c r="B25" s="54" t="n"/>
      <c r="C25" s="52" t="n"/>
      <c r="D25" s="115" t="n"/>
      <c r="E25" s="115" t="n"/>
      <c r="F25" s="115" t="n"/>
      <c r="G25" s="296" t="inlineStr">
        <is>
          <t>Financial capability</t>
        </is>
      </c>
      <c r="H25" s="296" t="n">
        <v>58</v>
      </c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</row>
    <row r="26" ht="40" customHeight="1" s="188">
      <c r="A26" s="125" t="n"/>
      <c r="B26" s="54" t="n"/>
      <c r="C26" s="52" t="n"/>
      <c r="D26" s="115" t="n"/>
      <c r="E26" s="115" t="n"/>
      <c r="F26" s="115" t="n"/>
      <c r="G26" s="296" t="inlineStr">
        <is>
          <t>Transportation</t>
        </is>
      </c>
      <c r="H26" s="296" t="n">
        <v>18</v>
      </c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</row>
    <row r="27" ht="40" customHeight="1" s="188">
      <c r="A27" s="153" t="n"/>
      <c r="B27" s="155" t="n"/>
      <c r="C27" s="48" t="n"/>
      <c r="D27" s="155" t="n"/>
      <c r="E27" s="155" t="n"/>
      <c r="F27" s="155" t="n"/>
      <c r="G27" s="303" t="inlineStr">
        <is>
          <t>Legal / identity / safety</t>
        </is>
      </c>
      <c r="H27" s="303" t="n">
        <v>25</v>
      </c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</row>
    <row r="28" ht="42" customHeight="1" s="188">
      <c r="A28" s="244" t="n"/>
      <c r="B28" s="247" t="n"/>
      <c r="C28" s="238" t="n"/>
      <c r="D28" s="247" t="n"/>
      <c r="E28" s="247" t="n"/>
      <c r="F28" s="247" t="n"/>
      <c r="G28" s="303" t="inlineStr">
        <is>
          <t>Parenting / family</t>
        </is>
      </c>
      <c r="H28" s="303" t="n">
        <v>13</v>
      </c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</row>
    <row r="29" ht="42" customHeight="1" s="188">
      <c r="A29" s="255" t="n"/>
      <c r="B29" s="213" t="n"/>
      <c r="C29" s="52" t="n"/>
      <c r="D29" s="201" t="n"/>
      <c r="E29" s="201" t="n"/>
      <c r="F29" s="201" t="n"/>
      <c r="G29" s="296" t="inlineStr">
        <is>
          <t>Disability support</t>
        </is>
      </c>
      <c r="H29" s="296" t="n">
        <v>9</v>
      </c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</row>
    <row r="30" ht="42" customHeight="1" s="188">
      <c r="A30" s="255" t="n"/>
      <c r="B30" s="213" t="n"/>
      <c r="C30" s="52" t="n"/>
      <c r="D30" s="201" t="n"/>
      <c r="E30" s="201" t="n"/>
      <c r="F30" s="201" t="n"/>
      <c r="G30" s="296" t="inlineStr">
        <is>
          <t>Entrepreneurship</t>
        </is>
      </c>
      <c r="H30" s="296" t="n">
        <v>3</v>
      </c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</row>
    <row r="31" ht="42" customHeight="1" s="188">
      <c r="A31" s="255" t="n"/>
      <c r="B31" s="213" t="n"/>
      <c r="C31" s="52" t="n"/>
      <c r="D31" s="201" t="n"/>
      <c r="E31" s="201" t="n"/>
      <c r="F31" s="201" t="n"/>
      <c r="G31" s="296" t="inlineStr">
        <is>
          <t>Faith / spiritual support</t>
        </is>
      </c>
      <c r="H31" s="296" t="n">
        <v>6</v>
      </c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</row>
    <row r="32" ht="42" customHeight="1" s="188">
      <c r="A32" s="255" t="n"/>
      <c r="B32" s="213" t="n"/>
      <c r="C32" s="52" t="n"/>
      <c r="D32" s="201" t="n"/>
      <c r="E32" s="201" t="n"/>
      <c r="F32" s="201" t="n"/>
      <c r="G32" s="296" t="inlineStr">
        <is>
          <t>Community / belonging</t>
        </is>
      </c>
      <c r="H32" s="296" t="n">
        <v>69</v>
      </c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</row>
    <row r="33" ht="42" customHeight="1" s="188">
      <c r="A33" s="255" t="n"/>
      <c r="B33" s="213" t="n"/>
      <c r="C33" s="52" t="n"/>
      <c r="D33" s="201" t="n"/>
      <c r="E33" s="201" t="n"/>
      <c r="F33" s="201" t="n"/>
      <c r="G33" s="201" t="n"/>
      <c r="H33" s="201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</row>
    <row r="34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</row>
    <row r="35">
      <c r="A35" s="326" t="inlineStr">
        <is>
          <t>Referral quality checklist</t>
        </is>
      </c>
      <c r="B35" s="323" t="n"/>
      <c r="C35" s="323" t="n"/>
      <c r="D35" s="326" t="inlineStr">
        <is>
          <t>How to use Support areas</t>
        </is>
      </c>
      <c r="E35" s="323" t="n"/>
      <c r="F35" s="323" t="n"/>
      <c r="G35" s="323" t="n"/>
      <c r="H35" s="323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</row>
    <row r="36" ht="42" customHeight="1" s="188">
      <c r="A36" s="313" t="inlineStr">
        <is>
          <t>1</t>
        </is>
      </c>
      <c r="B36" s="296" t="inlineStr">
        <is>
          <t>Verify age, county/ZIP code, foster-care history, income, household and immediate safety.</t>
        </is>
      </c>
      <c r="C36" s="52" t="n"/>
      <c r="D36" s="327" t="inlineStr">
        <is>
          <t>Each resource can have several Support areas in one cell, separated by semicolons. Filter the table for a term such as Mentorship, Housing / homelessness or Employment / workforce. The first listed area is the resource's most useful high-level classification.</t>
        </is>
      </c>
      <c r="E36" s="323" t="n"/>
      <c r="F36" s="323" t="n"/>
      <c r="G36" s="323" t="n"/>
      <c r="H36" s="323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</row>
    <row r="37" ht="42" customHeight="1" s="188">
      <c r="A37" s="313" t="inlineStr">
        <is>
          <t>2</t>
        </is>
      </c>
      <c r="B37" s="296" t="inlineStr">
        <is>
          <t>Use the official intake page or call; do not rely on an old flyer or search result.</t>
        </is>
      </c>
      <c r="C37" s="52" t="n"/>
      <c r="D37" s="323" t="n"/>
      <c r="H37" s="323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</row>
    <row r="38" ht="42" customHeight="1" s="188">
      <c r="A38" s="313" t="inlineStr">
        <is>
          <t>3</t>
        </is>
      </c>
      <c r="B38" s="296" t="inlineStr">
        <is>
          <t>Ask what documents, deadlines, waitlists and attendance expectations apply.</t>
        </is>
      </c>
      <c r="C38" s="52" t="n"/>
      <c r="D38" s="323" t="n"/>
      <c r="H38" s="323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</row>
    <row r="39" ht="42" customHeight="1" s="188">
      <c r="A39" s="313" t="inlineStr">
        <is>
          <t>4</t>
        </is>
      </c>
      <c r="B39" s="296" t="inlineStr">
        <is>
          <t>With consent, make a warm handoff and record the staff member, date and next action.</t>
        </is>
      </c>
      <c r="C39" s="52" t="n"/>
      <c r="D39" s="323" t="n"/>
      <c r="H39" s="323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</row>
    <row r="40" ht="42" customHeight="1" s="188">
      <c r="A40" s="313" t="inlineStr">
        <is>
          <t>5</t>
        </is>
      </c>
      <c r="B40" s="296" t="inlineStr">
        <is>
          <t>Create a backup plan. A referral is not complete until the young adult reaches the next service step.</t>
        </is>
      </c>
      <c r="C40" s="52" t="n"/>
      <c r="D40" s="323" t="n"/>
      <c r="E40" s="323" t="n"/>
      <c r="F40" s="323" t="n"/>
      <c r="G40" s="323" t="n"/>
      <c r="H40" s="323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</row>
    <row r="41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</row>
    <row r="42">
      <c r="A42" s="52" t="n"/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</row>
    <row r="43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</row>
    <row r="44">
      <c r="A44" s="52" t="n"/>
      <c r="B44" s="52" t="n"/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</row>
    <row r="45">
      <c r="A45" s="52" t="n"/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</row>
    <row r="46">
      <c r="A46" s="52" t="n"/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</row>
    <row r="47">
      <c r="A47" s="52" t="n"/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</row>
    <row r="48">
      <c r="A48" s="52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</row>
    <row r="49">
      <c r="A49" s="52" t="n"/>
      <c r="B49" s="52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</row>
    <row r="50">
      <c r="A50" s="52" t="n"/>
      <c r="B50" s="52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</row>
    <row r="51">
      <c r="A51" s="52" t="n"/>
      <c r="B51" s="52" t="n"/>
      <c r="C51" s="52" t="n"/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</row>
    <row r="52">
      <c r="A52" s="52" t="n"/>
      <c r="B52" s="52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</row>
    <row r="53">
      <c r="A53" s="52" t="n"/>
      <c r="B53" s="52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52" t="n"/>
      <c r="Z53" s="52" t="n"/>
    </row>
    <row r="54">
      <c r="A54" s="52" t="n"/>
      <c r="B54" s="52" t="n"/>
      <c r="C54" s="52" t="n"/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52" t="n"/>
      <c r="Z54" s="52" t="n"/>
    </row>
    <row r="55">
      <c r="A55" s="52" t="n"/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52" t="n"/>
      <c r="Z55" s="52" t="n"/>
    </row>
    <row r="56">
      <c r="A56" s="52" t="n"/>
      <c r="B56" s="52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52" t="n"/>
      <c r="Z56" s="52" t="n"/>
    </row>
    <row r="57">
      <c r="A57" s="52" t="n"/>
      <c r="B57" s="52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</row>
    <row r="58">
      <c r="A58" s="52" t="n"/>
      <c r="B58" s="52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52" t="n"/>
      <c r="Z58" s="52" t="n"/>
    </row>
    <row r="59">
      <c r="A59" s="52" t="n"/>
      <c r="B59" s="52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</row>
    <row r="60">
      <c r="A60" s="52" t="n"/>
      <c r="B60" s="52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</row>
    <row r="61">
      <c r="A61" s="52" t="n"/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</row>
    <row r="62">
      <c r="A62" s="52" t="n"/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52" t="n"/>
      <c r="Z62" s="52" t="n"/>
    </row>
    <row r="63">
      <c r="A63" s="52" t="n"/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</row>
    <row r="64">
      <c r="A64" s="52" t="n"/>
      <c r="B64" s="52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</row>
    <row r="65">
      <c r="A65" s="52" t="n"/>
      <c r="B65" s="52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</row>
    <row r="66">
      <c r="A66" s="52" t="n"/>
      <c r="B66" s="52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</row>
    <row r="67">
      <c r="A67" s="52" t="n"/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</row>
    <row r="68">
      <c r="A68" s="52" t="n"/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</row>
    <row r="69">
      <c r="A69" s="52" t="n"/>
      <c r="B69" s="52" t="n"/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</row>
    <row r="70">
      <c r="A70" s="52" t="n"/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</row>
    <row r="71">
      <c r="A71" s="52" t="n"/>
      <c r="B71" s="52" t="n"/>
      <c r="C71" s="52" t="n"/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</row>
    <row r="72">
      <c r="A72" s="52" t="n"/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</row>
    <row r="73">
      <c r="A73" s="52" t="n"/>
      <c r="B73" s="52" t="n"/>
      <c r="C73" s="52" t="n"/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</row>
    <row r="74">
      <c r="A74" s="52" t="n"/>
      <c r="B74" s="52" t="n"/>
      <c r="C74" s="52" t="n"/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</row>
    <row r="75">
      <c r="A75" s="52" t="n"/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</row>
    <row r="76">
      <c r="A76" s="52" t="n"/>
      <c r="B76" s="52" t="n"/>
      <c r="C76" s="52" t="n"/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</row>
    <row r="77">
      <c r="A77" s="52" t="n"/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52" t="n"/>
      <c r="Z77" s="52" t="n"/>
    </row>
    <row r="78">
      <c r="A78" s="52" t="n"/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</row>
    <row r="79">
      <c r="A79" s="52" t="n"/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</row>
    <row r="80">
      <c r="A80" s="52" t="n"/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</row>
    <row r="81">
      <c r="A81" s="52" t="n"/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</row>
    <row r="82">
      <c r="A82" s="52" t="n"/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</row>
    <row r="83">
      <c r="A83" s="52" t="n"/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</row>
    <row r="84">
      <c r="A84" s="52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</row>
    <row r="85">
      <c r="A85" s="52" t="n"/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</row>
    <row r="86">
      <c r="A86" s="52" t="n"/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</row>
    <row r="87">
      <c r="A87" s="52" t="n"/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</row>
    <row r="88">
      <c r="A88" s="52" t="n"/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</row>
    <row r="89">
      <c r="A89" s="52" t="n"/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</row>
    <row r="90">
      <c r="A90" s="52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</row>
    <row r="91">
      <c r="A91" s="52" t="n"/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</row>
    <row r="92">
      <c r="A92" s="52" t="n"/>
      <c r="B92" s="52" t="n"/>
      <c r="C92" s="52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</row>
    <row r="93">
      <c r="A93" s="52" t="n"/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</row>
    <row r="94">
      <c r="A94" s="52" t="n"/>
      <c r="B94" s="52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</row>
    <row r="95">
      <c r="A95" s="52" t="n"/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</row>
    <row r="96">
      <c r="A96" s="52" t="n"/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</row>
    <row r="97">
      <c r="A97" s="52" t="n"/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</row>
    <row r="98">
      <c r="A98" s="52" t="n"/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</row>
    <row r="99">
      <c r="A99" s="52" t="n"/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</row>
    <row r="100">
      <c r="A100" s="52" t="n"/>
      <c r="B100" s="52" t="n"/>
      <c r="C100" s="52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</row>
    <row r="101">
      <c r="A101" s="52" t="n"/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</row>
    <row r="102">
      <c r="A102" s="52" t="n"/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</row>
    <row r="103">
      <c r="A103" s="52" t="n"/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</row>
    <row r="104">
      <c r="A104" s="52" t="n"/>
      <c r="B104" s="52" t="n"/>
      <c r="C104" s="52" t="n"/>
      <c r="D104" s="52" t="n"/>
      <c r="E104" s="52" t="n"/>
      <c r="F104" s="52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</row>
    <row r="105">
      <c r="A105" s="52" t="n"/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</row>
    <row r="106">
      <c r="A106" s="52" t="n"/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</row>
    <row r="107">
      <c r="A107" s="52" t="n"/>
      <c r="B107" s="52" t="n"/>
      <c r="C107" s="52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</row>
    <row r="108">
      <c r="A108" s="52" t="n"/>
      <c r="B108" s="52" t="n"/>
      <c r="C108" s="52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</row>
    <row r="109">
      <c r="A109" s="52" t="n"/>
      <c r="B109" s="52" t="n"/>
      <c r="C109" s="52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</row>
    <row r="110">
      <c r="A110" s="52" t="n"/>
      <c r="B110" s="52" t="n"/>
      <c r="C110" s="52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</row>
    <row r="111">
      <c r="A111" s="52" t="n"/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</row>
    <row r="112">
      <c r="A112" s="52" t="n"/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</row>
    <row r="113">
      <c r="A113" s="52" t="n"/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</row>
    <row r="114">
      <c r="A114" s="52" t="n"/>
      <c r="B114" s="52" t="n"/>
      <c r="C114" s="52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</row>
    <row r="115">
      <c r="A115" s="52" t="n"/>
      <c r="B115" s="52" t="n"/>
      <c r="C115" s="52" t="n"/>
      <c r="D115" s="52" t="n"/>
      <c r="E115" s="52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</row>
    <row r="116">
      <c r="A116" s="52" t="n"/>
      <c r="B116" s="52" t="n"/>
      <c r="C116" s="52" t="n"/>
      <c r="D116" s="52" t="n"/>
      <c r="E116" s="52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</row>
    <row r="117">
      <c r="A117" s="52" t="n"/>
      <c r="B117" s="52" t="n"/>
      <c r="C117" s="52" t="n"/>
      <c r="D117" s="52" t="n"/>
      <c r="E117" s="52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</row>
    <row r="118">
      <c r="A118" s="52" t="n"/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</row>
    <row r="119">
      <c r="A119" s="52" t="n"/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</row>
    <row r="120">
      <c r="A120" s="52" t="n"/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</row>
    <row r="121">
      <c r="A121" s="52" t="n"/>
      <c r="B121" s="52" t="n"/>
      <c r="C121" s="52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</row>
    <row r="122">
      <c r="A122" s="52" t="n"/>
      <c r="B122" s="52" t="n"/>
      <c r="C122" s="52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</row>
    <row r="123">
      <c r="A123" s="52" t="n"/>
      <c r="B123" s="52" t="n"/>
      <c r="C123" s="52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</row>
    <row r="124">
      <c r="A124" s="52" t="n"/>
      <c r="B124" s="52" t="n"/>
      <c r="C124" s="52" t="n"/>
      <c r="D124" s="52" t="n"/>
      <c r="E124" s="52" t="n"/>
      <c r="F124" s="52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</row>
    <row r="125">
      <c r="A125" s="52" t="n"/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</row>
    <row r="126">
      <c r="A126" s="52" t="n"/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</row>
    <row r="127">
      <c r="A127" s="52" t="n"/>
      <c r="B127" s="52" t="n"/>
      <c r="C127" s="52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</row>
    <row r="128">
      <c r="A128" s="52" t="n"/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</row>
    <row r="129">
      <c r="A129" s="52" t="n"/>
      <c r="B129" s="52" t="n"/>
      <c r="C129" s="52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</row>
    <row r="130">
      <c r="A130" s="52" t="n"/>
      <c r="B130" s="52" t="n"/>
      <c r="C130" s="52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  <c r="Z130" s="52" t="n"/>
    </row>
    <row r="131">
      <c r="A131" s="52" t="n"/>
      <c r="B131" s="52" t="n"/>
      <c r="C131" s="52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  <c r="Z131" s="52" t="n"/>
    </row>
    <row r="132">
      <c r="A132" s="52" t="n"/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</row>
    <row r="133">
      <c r="A133" s="52" t="n"/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  <c r="Z133" s="52" t="n"/>
    </row>
    <row r="134">
      <c r="A134" s="52" t="n"/>
      <c r="B134" s="52" t="n"/>
      <c r="C134" s="52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  <c r="Z134" s="52" t="n"/>
    </row>
    <row r="135">
      <c r="A135" s="52" t="n"/>
      <c r="B135" s="52" t="n"/>
      <c r="C135" s="52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  <c r="Z135" s="52" t="n"/>
    </row>
    <row r="136">
      <c r="A136" s="52" t="n"/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  <c r="Z136" s="52" t="n"/>
    </row>
    <row r="137">
      <c r="A137" s="52" t="n"/>
      <c r="B137" s="52" t="n"/>
      <c r="C137" s="52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  <c r="Z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  <c r="Z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  <c r="Z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  <c r="Z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  <c r="Z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  <c r="Z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  <c r="Z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  <c r="Z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  <c r="Z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  <c r="Z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  <c r="Z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  <c r="Z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  <c r="Z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  <c r="Z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  <c r="Z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  <c r="Z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  <c r="Z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  <c r="Z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  <c r="Z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  <c r="Z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  <c r="Z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  <c r="Z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  <c r="Z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  <c r="X176" s="52" t="n"/>
      <c r="Y176" s="52" t="n"/>
      <c r="Z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  <c r="Z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  <c r="Y178" s="52" t="n"/>
      <c r="Z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  <c r="Y179" s="52" t="n"/>
      <c r="Z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  <c r="Z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  <c r="X182" s="52" t="n"/>
      <c r="Y182" s="52" t="n"/>
      <c r="Z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  <c r="Z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  <c r="Y184" s="52" t="n"/>
      <c r="Z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  <c r="Y185" s="52" t="n"/>
      <c r="Z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  <c r="Z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  <c r="X188" s="52" t="n"/>
      <c r="Y188" s="52" t="n"/>
      <c r="Z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  <c r="Z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  <c r="X194" s="52" t="n"/>
      <c r="Y194" s="52" t="n"/>
      <c r="Z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  <c r="Z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  <c r="Y196" s="52" t="n"/>
      <c r="Z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  <c r="Y197" s="52" t="n"/>
      <c r="Z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  <c r="Z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  <c r="X200" s="52" t="n"/>
      <c r="Y200" s="52" t="n"/>
      <c r="Z200" s="52" t="n"/>
    </row>
  </sheetData>
  <mergeCells count="9">
    <mergeCell ref="D35:H35"/>
    <mergeCell ref="A12:E12"/>
    <mergeCell ref="G12:H12"/>
    <mergeCell ref="A3:H4"/>
    <mergeCell ref="G7:H10"/>
    <mergeCell ref="D36:H40"/>
    <mergeCell ref="G6:H6"/>
    <mergeCell ref="A35:C35"/>
    <mergeCell ref="A1:H2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6" customWidth="1" style="188" min="1" max="1"/>
    <col width="46" customWidth="1" style="188" min="2" max="2"/>
    <col width="31" customWidth="1" style="188" min="3" max="3"/>
    <col width="15" customWidth="1" style="188" min="4" max="4"/>
    <col width="12" customWidth="1" style="188" min="5" max="5"/>
    <col width="34" customWidth="1" style="188" min="6" max="6"/>
    <col width="32" customWidth="1" style="188" min="7" max="7"/>
    <col width="42" customWidth="1" style="188" min="8" max="8"/>
    <col width="34" customWidth="1" style="188" min="9" max="9"/>
    <col width="22" customWidth="1" style="188" min="10" max="10"/>
    <col width="30" customWidth="1" style="188" min="11" max="11"/>
    <col width="38" customWidth="1" style="188" min="12" max="12"/>
    <col width="45" customWidth="1" style="188" min="13" max="13"/>
    <col width="12" customWidth="1" style="188" min="14" max="14"/>
    <col width="23" customWidth="1" style="188" min="15" max="15"/>
    <col width="30" customWidth="1" style="188" min="16" max="16"/>
    <col width="28" customWidth="1" style="188" min="17" max="17"/>
    <col width="23" customWidth="1" style="188" min="18" max="18"/>
    <col width="40" customWidth="1" style="188" min="19" max="19"/>
    <col width="38" customWidth="1" style="188" min="20" max="20"/>
    <col width="15" customWidth="1" style="188" min="21" max="21"/>
    <col width="15" customWidth="1" style="188" min="22" max="22"/>
  </cols>
  <sheetData>
    <row r="1" ht="28" customHeight="1" s="188">
      <c r="A1" s="322" t="inlineStr">
        <is>
          <t>Resource Directory — unified support areas</t>
        </is>
      </c>
      <c r="B1" s="323" t="n"/>
      <c r="C1" s="323" t="n"/>
      <c r="D1" s="323" t="n"/>
      <c r="E1" s="323" t="n"/>
      <c r="F1" s="323" t="n"/>
      <c r="G1" s="323" t="n"/>
      <c r="H1" s="323" t="n"/>
      <c r="I1" s="323" t="n"/>
      <c r="J1" s="323" t="n"/>
      <c r="K1" s="323" t="n"/>
      <c r="L1" s="323" t="n"/>
      <c r="M1" s="323" t="n"/>
      <c r="N1" s="323" t="n"/>
      <c r="O1" s="323" t="n"/>
      <c r="P1" s="323" t="n"/>
      <c r="Q1" s="323" t="n"/>
      <c r="R1" s="323" t="n"/>
      <c r="S1" s="323" t="n"/>
      <c r="T1" s="195" t="n"/>
      <c r="U1" s="195" t="n"/>
      <c r="V1" s="195" t="n"/>
      <c r="W1" s="52" t="n"/>
      <c r="X1" s="52" t="n"/>
      <c r="Y1" s="52" t="n"/>
      <c r="Z1" s="52" t="n"/>
    </row>
    <row r="2" ht="28" customHeight="1" s="188">
      <c r="A2" s="323" t="n"/>
      <c r="B2" s="323" t="n"/>
      <c r="C2" s="323" t="n"/>
      <c r="D2" s="323" t="n"/>
      <c r="E2" s="323" t="n"/>
      <c r="F2" s="323" t="n"/>
      <c r="G2" s="323" t="n"/>
      <c r="H2" s="323" t="n"/>
      <c r="I2" s="323" t="n"/>
      <c r="J2" s="323" t="n"/>
      <c r="K2" s="323" t="n"/>
      <c r="L2" s="323" t="n"/>
      <c r="M2" s="323" t="n"/>
      <c r="N2" s="323" t="n"/>
      <c r="O2" s="323" t="n"/>
      <c r="P2" s="323" t="n"/>
      <c r="Q2" s="323" t="n"/>
      <c r="R2" s="323" t="n"/>
      <c r="S2" s="323" t="n"/>
      <c r="T2" s="195" t="n"/>
      <c r="U2" s="195" t="n"/>
      <c r="V2" s="195" t="n"/>
      <c r="W2" s="52" t="n"/>
      <c r="X2" s="52" t="n"/>
      <c r="Y2" s="52" t="n"/>
      <c r="Z2" s="52" t="n"/>
    </row>
    <row r="3" ht="38" customHeight="1" s="188">
      <c r="A3" s="324" t="inlineStr">
        <is>
          <t>139 researched resources. Support areas is the single classification field and replaces the former primary-category and support-focus columns.</t>
        </is>
      </c>
      <c r="B3" s="323" t="n"/>
      <c r="C3" s="323" t="n"/>
      <c r="D3" s="323" t="n"/>
      <c r="E3" s="323" t="n"/>
      <c r="F3" s="323" t="n"/>
      <c r="G3" s="323" t="n"/>
      <c r="H3" s="323" t="n"/>
      <c r="I3" s="323" t="n"/>
      <c r="J3" s="323" t="n"/>
      <c r="K3" s="323" t="n"/>
      <c r="L3" s="323" t="n"/>
      <c r="M3" s="323" t="n"/>
      <c r="N3" s="323" t="n"/>
      <c r="O3" s="323" t="n"/>
      <c r="P3" s="323" t="n"/>
      <c r="Q3" s="323" t="n"/>
      <c r="R3" s="323" t="n"/>
      <c r="S3" s="323" t="n"/>
      <c r="T3" s="201" t="n"/>
      <c r="U3" s="201" t="n"/>
      <c r="V3" s="201" t="n"/>
      <c r="W3" s="52" t="n"/>
      <c r="X3" s="52" t="n"/>
      <c r="Y3" s="52" t="n"/>
      <c r="Z3" s="52" t="n"/>
    </row>
    <row r="4">
      <c r="A4" s="52" t="n"/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</row>
    <row r="5" ht="42" customHeight="1" s="188">
      <c r="A5" s="295" t="inlineStr">
        <is>
          <t>ID</t>
        </is>
      </c>
      <c r="B5" s="295" t="inlineStr">
        <is>
          <t>Support areas</t>
        </is>
      </c>
      <c r="C5" s="295" t="inlineStr">
        <is>
          <t>Resource / program</t>
        </is>
      </c>
      <c r="D5" s="295" t="inlineStr">
        <is>
          <t>Foster-care specific?</t>
        </is>
      </c>
      <c r="E5" s="295" t="inlineStr">
        <is>
          <t>Priority</t>
        </is>
      </c>
      <c r="F5" s="295" t="inlineStr">
        <is>
          <t>Best for / referral trigger</t>
        </is>
      </c>
      <c r="G5" s="295" t="inlineStr">
        <is>
          <t>Age / eligibility</t>
        </is>
      </c>
      <c r="H5" s="295" t="inlineStr">
        <is>
          <t>What it provides</t>
        </is>
      </c>
      <c r="I5" s="295" t="inlineStr">
        <is>
          <t>How to access</t>
        </is>
      </c>
      <c r="J5" s="295" t="inlineStr">
        <is>
          <t>Phone</t>
        </is>
      </c>
      <c r="K5" s="295" t="inlineStr">
        <is>
          <t>Location / service area</t>
        </is>
      </c>
      <c r="L5" s="295" t="inlineStr">
        <is>
          <t>Capacity / verification caveat</t>
        </is>
      </c>
      <c r="M5" s="295" t="inlineStr">
        <is>
          <t>Official source URL</t>
        </is>
      </c>
      <c r="N5" s="295" t="inlineStr">
        <is>
          <t>Last verified</t>
        </is>
      </c>
      <c r="O5" s="295" t="inlineStr">
        <is>
          <t>the program referral status</t>
        </is>
      </c>
      <c r="P5" s="295" t="inlineStr">
        <is>
          <t>the program notes</t>
        </is>
      </c>
      <c r="Q5" s="295" t="inlineStr">
        <is>
          <t>Area</t>
        </is>
      </c>
      <c r="R5" s="295" t="inlineStr">
        <is>
          <t>Area group</t>
        </is>
      </c>
      <c r="S5" s="295" t="inlineStr">
        <is>
          <t>Radius / service-area note</t>
        </is>
      </c>
      <c r="T5" s="216" t="n"/>
      <c r="U5" s="216" t="n"/>
      <c r="V5" s="217" t="n"/>
      <c r="W5" s="52" t="n"/>
      <c r="X5" s="52" t="n"/>
      <c r="Y5" s="52" t="n"/>
      <c r="Z5" s="52" t="n"/>
    </row>
    <row r="6" ht="72" customHeight="1" s="188">
      <c r="A6" s="296" t="n">
        <v>1</v>
      </c>
      <c r="B6" s="296" t="inlineStr">
        <is>
          <t>Navigation / case management; Housing / homelessness; Food / essentials; Health care; Transportation; Legal / identity / safety; Community / belonging</t>
        </is>
      </c>
      <c r="C6" s="296" t="inlineStr">
        <is>
          <t>NC 211</t>
        </is>
      </c>
      <c r="D6" s="296" t="inlineStr">
        <is>
          <t>No</t>
        </is>
      </c>
      <c r="E6" s="296" t="inlineStr">
        <is>
          <t>Core</t>
        </is>
      </c>
      <c r="F6" s="296" t="inlineStr">
        <is>
          <t>A young adult has multiple needs and the program is unsure where to start.</t>
        </is>
      </c>
      <c r="G6" s="296" t="inlineStr">
        <is>
          <t>Anyone in North Carolina.</t>
        </is>
      </c>
      <c r="H6" s="296" t="inlineStr">
        <is>
          <t>Free, confidential, multilingual navigation to food, housing, health, transportation, legal and other community resources.</t>
        </is>
      </c>
      <c r="I6" s="296" t="inlineStr">
        <is>
          <t>Call 2-1-1, call 888-892-1162, or search the online database.</t>
        </is>
      </c>
      <c r="J6" s="296" t="inlineStr">
        <is>
          <t>211 / 888-892-1162</t>
        </is>
      </c>
      <c r="K6" s="296" t="inlineStr">
        <is>
          <t>Statewide; Charlotte/Mecklenburg resources included.</t>
        </is>
      </c>
      <c r="L6" s="296" t="inlineStr">
        <is>
          <t>Directory information changes; confirm the referred provider's current intake requirements.</t>
        </is>
      </c>
      <c r="M6" s="296" t="inlineStr">
        <is>
          <t>https://nc211.org/about/</t>
        </is>
      </c>
      <c r="N6" s="328" t="n">
        <v>46239</v>
      </c>
      <c r="O6" s="296" t="inlineStr">
        <is>
          <t>Not contacted</t>
        </is>
      </c>
      <c r="P6" s="296" t="str"/>
      <c r="Q6" s="296" t="inlineStr">
        <is>
          <t>Charlotte / Mecklenburg</t>
        </is>
      </c>
      <c r="R6" s="296" t="inlineStr">
        <is>
          <t>Charlotte / Mecklenburg</t>
        </is>
      </c>
      <c r="S6" s="296" t="inlineStr">
        <is>
          <t>Located in or serving the requested roughly 30-mile Charlotte search area.</t>
        </is>
      </c>
      <c r="T6" s="219" t="n"/>
      <c r="U6" s="219" t="n"/>
      <c r="V6" s="221" t="n"/>
      <c r="W6" s="52" t="n"/>
      <c r="X6" s="52" t="n"/>
      <c r="Y6" s="52" t="n"/>
      <c r="Z6" s="52" t="n"/>
    </row>
    <row r="7" ht="72" customHeight="1" s="188">
      <c r="A7" s="296" t="n">
        <v>2</v>
      </c>
      <c r="B7" s="296" t="inlineStr">
        <is>
          <t>Navigation / case management; Financial capability; Community / belonging</t>
        </is>
      </c>
      <c r="C7" s="296" t="inlineStr">
        <is>
          <t>Mecklenburg County Community Resource Centers</t>
        </is>
      </c>
      <c r="D7" s="296" t="inlineStr">
        <is>
          <t>No</t>
        </is>
      </c>
      <c r="E7" s="296" t="inlineStr">
        <is>
          <t>Core</t>
        </is>
      </c>
      <c r="F7" s="296" t="inlineStr">
        <is>
          <t>Help applying for county benefits or connecting to multiple county services.</t>
        </is>
      </c>
      <c r="G7" s="296" t="inlineStr">
        <is>
          <t>Mecklenburg County residents; program-specific eligibility applies.</t>
        </is>
      </c>
      <c r="H7" s="296" t="inlineStr">
        <is>
          <t>In-person access to benefit applications, case navigation and partner services.</t>
        </is>
      </c>
      <c r="I7" s="296" t="inlineStr">
        <is>
          <t>Visit a Community Resource Center or use Mecklenburg County's contact options.</t>
        </is>
      </c>
      <c r="J7" s="296" t="inlineStr">
        <is>
          <t>704-336-3000</t>
        </is>
      </c>
      <c r="K7" s="296" t="inlineStr">
        <is>
          <t>Ella B. Scarborough CRC, 430 Stitt Rd; Valerie C. Woodard CRC, 3205 Freedom Dr.</t>
        </is>
      </c>
      <c r="L7" s="296" t="inlineStr">
        <is>
          <t>Services and walk-in hours vary by site.</t>
        </is>
      </c>
      <c r="M7" s="296" t="inlineStr">
        <is>
          <t>https://dcr.mecknc.gov/crc</t>
        </is>
      </c>
      <c r="N7" s="328" t="n">
        <v>46239</v>
      </c>
      <c r="O7" s="296" t="inlineStr">
        <is>
          <t>Not contacted</t>
        </is>
      </c>
      <c r="P7" s="296" t="str"/>
      <c r="Q7" s="296" t="inlineStr">
        <is>
          <t>Charlotte / Mecklenburg</t>
        </is>
      </c>
      <c r="R7" s="296" t="inlineStr">
        <is>
          <t>Charlotte / Mecklenburg</t>
        </is>
      </c>
      <c r="S7" s="296" t="inlineStr">
        <is>
          <t>Located in or serving the requested roughly 30-mile Charlotte search area.</t>
        </is>
      </c>
      <c r="T7" s="219" t="n"/>
      <c r="U7" s="219" t="n"/>
      <c r="V7" s="221" t="n"/>
      <c r="W7" s="52" t="n"/>
      <c r="X7" s="52" t="n"/>
      <c r="Y7" s="52" t="n"/>
      <c r="Z7" s="52" t="n"/>
    </row>
    <row r="8" ht="72" customHeight="1" s="188">
      <c r="A8" s="296" t="n">
        <v>3</v>
      </c>
      <c r="B8" s="296" t="inlineStr">
        <is>
          <t>Navigation / case management; Community / belonging</t>
        </is>
      </c>
      <c r="C8" s="296" t="inlineStr">
        <is>
          <t>City of Charlotte Community Resources Directory</t>
        </is>
      </c>
      <c r="D8" s="296" t="inlineStr">
        <is>
          <t>No</t>
        </is>
      </c>
      <c r="E8" s="296" t="inlineStr">
        <is>
          <t>Backup</t>
        </is>
      </c>
      <c r="F8" s="296" t="inlineStr">
        <is>
          <t>Finding additional local providers by need area.</t>
        </is>
      </c>
      <c r="G8" s="296" t="inlineStr">
        <is>
          <t>Charlotte-area residents; eligibility varies by listed provider.</t>
        </is>
      </c>
      <c r="H8" s="296" t="inlineStr">
        <is>
          <t>City-maintained directory of community organizations and services.</t>
        </is>
      </c>
      <c r="I8" s="296" t="inlineStr">
        <is>
          <t>Search the online directory, then verify eligibility directly with the provider.</t>
        </is>
      </c>
      <c r="J8" s="296" t="str"/>
      <c r="K8" s="296" t="inlineStr">
        <is>
          <t>Charlotte / Mecklenburg County.</t>
        </is>
      </c>
      <c r="L8" s="296" t="inlineStr">
        <is>
          <t>A directory is a starting point, not a guarantee of availability.</t>
        </is>
      </c>
      <c r="M8" s="296" t="inlineStr">
        <is>
          <t>https://www.charlottenc.gov/Streets-and-Neighborhoods/Get-Involved/Community-Engagement/Community-Resources-Directory</t>
        </is>
      </c>
      <c r="N8" s="328" t="n">
        <v>46239</v>
      </c>
      <c r="O8" s="296" t="inlineStr">
        <is>
          <t>Not contacted</t>
        </is>
      </c>
      <c r="P8" s="296" t="str"/>
      <c r="Q8" s="296" t="inlineStr">
        <is>
          <t>Charlotte / Mecklenburg</t>
        </is>
      </c>
      <c r="R8" s="296" t="inlineStr">
        <is>
          <t>Charlotte / Mecklenburg</t>
        </is>
      </c>
      <c r="S8" s="296" t="inlineStr">
        <is>
          <t>Located in or serving the requested roughly 30-mile Charlotte search area.</t>
        </is>
      </c>
      <c r="T8" s="219" t="n"/>
      <c r="U8" s="219" t="n"/>
      <c r="V8" s="221" t="n"/>
      <c r="W8" s="52" t="n"/>
      <c r="X8" s="52" t="n"/>
      <c r="Y8" s="52" t="n"/>
      <c r="Z8" s="52" t="n"/>
    </row>
    <row r="9" ht="72" customHeight="1" s="188">
      <c r="A9" s="296" t="n">
        <v>4</v>
      </c>
      <c r="B9" s="296" t="inlineStr">
        <is>
          <t>Navigation / case management; Housing / homelessness; Community / belonging</t>
        </is>
      </c>
      <c r="C9" s="296" t="inlineStr">
        <is>
          <t>Mecklenburg Coordinated Entry</t>
        </is>
      </c>
      <c r="D9" s="296" t="inlineStr">
        <is>
          <t>No</t>
        </is>
      </c>
      <c r="E9" s="296" t="inlineStr">
        <is>
          <t>Core</t>
        </is>
      </c>
      <c r="F9" s="296" t="inlineStr">
        <is>
          <t>A young adult is homeless, sleeping somewhere unsafe, or likely to lose housing soon.</t>
        </is>
      </c>
      <c r="G9" s="296" t="inlineStr">
        <is>
          <t>Individuals and families who are homeless or at risk in Mecklenburg County.</t>
        </is>
      </c>
      <c r="H9" s="296" t="inlineStr">
        <is>
          <t>Community entry process for shelter, diversion, rapid rehousing and supportive housing resources.</t>
        </is>
      </c>
      <c r="I9" s="296" t="inlineStr">
        <is>
          <t>Call and complete a telephone assessment; follow instructions for an in-person assessment when requested.</t>
        </is>
      </c>
      <c r="J9" s="296" t="inlineStr">
        <is>
          <t>704-284-9665</t>
        </is>
      </c>
      <c r="K9" s="296" t="inlineStr">
        <is>
          <t>Mecklenburg County.</t>
        </is>
      </c>
      <c r="L9" s="296" t="inlineStr">
        <is>
          <t>Housing is not immediate or guaranteed; callbacks may take up to two business days and programs have limited capacity.</t>
        </is>
      </c>
      <c r="M9" s="296" t="inlineStr">
        <is>
          <t>https://css.mecknc.gov/Housing-Stabilization/coordinated-entry</t>
        </is>
      </c>
      <c r="N9" s="328" t="n">
        <v>46239</v>
      </c>
      <c r="O9" s="296" t="inlineStr">
        <is>
          <t>Not contacted</t>
        </is>
      </c>
      <c r="P9" s="296" t="str"/>
      <c r="Q9" s="296" t="inlineStr">
        <is>
          <t>Charlotte / Mecklenburg</t>
        </is>
      </c>
      <c r="R9" s="296" t="inlineStr">
        <is>
          <t>Charlotte / Mecklenburg</t>
        </is>
      </c>
      <c r="S9" s="296" t="inlineStr">
        <is>
          <t>Located in or serving the requested roughly 30-mile Charlotte search area.</t>
        </is>
      </c>
      <c r="T9" s="219" t="n"/>
      <c r="U9" s="219" t="n"/>
      <c r="V9" s="221" t="n"/>
      <c r="W9" s="52" t="n"/>
      <c r="X9" s="52" t="n"/>
      <c r="Y9" s="52" t="n"/>
      <c r="Z9" s="52" t="n"/>
    </row>
    <row r="10" ht="72" customHeight="1" s="188">
      <c r="A10" s="296" t="n">
        <v>5</v>
      </c>
      <c r="B10" s="296" t="inlineStr">
        <is>
          <t>Navigation / case management; Health care; Mental health / recovery</t>
        </is>
      </c>
      <c r="C10" s="296" t="inlineStr">
        <is>
          <t>988 Suicide &amp; Crisis Lifeline</t>
        </is>
      </c>
      <c r="D10" s="296" t="inlineStr">
        <is>
          <t>No</t>
        </is>
      </c>
      <c r="E10" s="296" t="inlineStr">
        <is>
          <t>Core</t>
        </is>
      </c>
      <c r="F10" s="296" t="inlineStr">
        <is>
          <t>Suicidal thoughts, mental-health crisis, severe emotional distress or concern about another person.</t>
        </is>
      </c>
      <c r="G10" s="296" t="inlineStr">
        <is>
          <t>Anyone in the United States.</t>
        </is>
      </c>
      <c r="H10" s="296" t="inlineStr">
        <is>
          <t>24/7 call, text and chat crisis support and connection to local crisis services.</t>
        </is>
      </c>
      <c r="I10" s="296" t="inlineStr">
        <is>
          <t>Call or text 988. Call 911 for an immediate life-threatening emergency.</t>
        </is>
      </c>
      <c r="J10" s="296" t="inlineStr">
        <is>
          <t>988</t>
        </is>
      </c>
      <c r="K10" s="296" t="inlineStr">
        <is>
          <t>Nationwide; routes to local crisis support.</t>
        </is>
      </c>
      <c r="L10" s="296" t="inlineStr">
        <is>
          <t>Not a replacement for emergency medical response when there is immediate danger.</t>
        </is>
      </c>
      <c r="M10" s="296" t="inlineStr">
        <is>
          <t>https://www.ncdhhs.gov/divisions/mental-health-developmental-disabilities-and-substance-use-services/crisis-services/find-mobile-crisis-team</t>
        </is>
      </c>
      <c r="N10" s="328" t="n">
        <v>46239</v>
      </c>
      <c r="O10" s="296" t="inlineStr">
        <is>
          <t>Not contacted</t>
        </is>
      </c>
      <c r="P10" s="296" t="str"/>
      <c r="Q10" s="296" t="inlineStr">
        <is>
          <t>Statewide / national</t>
        </is>
      </c>
      <c r="R10" s="296" t="inlineStr">
        <is>
          <t>Statewide / national</t>
        </is>
      </c>
      <c r="S10" s="296" t="inlineStr">
        <is>
          <t>Statewide or national fallback resource accessible from the Charlotte area.</t>
        </is>
      </c>
      <c r="T10" s="219" t="n"/>
      <c r="U10" s="219" t="n"/>
      <c r="V10" s="221" t="n"/>
      <c r="W10" s="52" t="n"/>
      <c r="X10" s="52" t="n"/>
      <c r="Y10" s="52" t="n"/>
      <c r="Z10" s="52" t="n"/>
    </row>
    <row r="11" ht="72" customHeight="1" s="188">
      <c r="A11" s="296" t="n">
        <v>6</v>
      </c>
      <c r="B11" s="296" t="inlineStr">
        <is>
          <t>Navigation / case management; Health care; Mental health / recovery; Education; Legal / identity / safety; Community / belonging</t>
        </is>
      </c>
      <c r="C11" s="296" t="inlineStr">
        <is>
          <t>Mecklenburg Mobile Crisis (Santé Group)</t>
        </is>
      </c>
      <c r="D11" s="296" t="inlineStr">
        <is>
          <t>No</t>
        </is>
      </c>
      <c r="E11" s="296" t="inlineStr">
        <is>
          <t>Core</t>
        </is>
      </c>
      <c r="F11" s="296" t="inlineStr">
        <is>
          <t>A behavioral-health crisis may be managed safely in the community rather than through law enforcement or an emergency department.</t>
        </is>
      </c>
      <c r="G11" s="296" t="inlineStr">
        <is>
          <t>People in Mecklenburg County experiencing a mental-health or substance-use crisis.</t>
        </is>
      </c>
      <c r="H11" s="296" t="inlineStr">
        <is>
          <t>24/7 crisis assessment, de-escalation and connection to treatment.</t>
        </is>
      </c>
      <c r="I11" s="296" t="inlineStr">
        <is>
          <t>Call the local mobile crisis line and select option 1.</t>
        </is>
      </c>
      <c r="J11" s="296" t="inlineStr">
        <is>
          <t>704-566-3410, option 1</t>
        </is>
      </c>
      <c r="K11" s="296" t="inlineStr">
        <is>
          <t>Mecklenburg County.</t>
        </is>
      </c>
      <c r="L11" s="296" t="inlineStr">
        <is>
          <t>Response depends on safety, staffing and clinical assessment; call 911 for immediate danger.</t>
        </is>
      </c>
      <c r="M11" s="296" t="inlineStr">
        <is>
          <t>https://thesantegroup.org/where-we-work/mecklenburg-county-nc/</t>
        </is>
      </c>
      <c r="N11" s="328" t="n">
        <v>46239</v>
      </c>
      <c r="O11" s="296" t="inlineStr">
        <is>
          <t>Not contacted</t>
        </is>
      </c>
      <c r="P11" s="296" t="str"/>
      <c r="Q11" s="296" t="inlineStr">
        <is>
          <t>Charlotte / Mecklenburg</t>
        </is>
      </c>
      <c r="R11" s="296" t="inlineStr">
        <is>
          <t>Charlotte / Mecklenburg</t>
        </is>
      </c>
      <c r="S11" s="296" t="inlineStr">
        <is>
          <t>Located in or serving the requested roughly 30-mile Charlotte search area.</t>
        </is>
      </c>
      <c r="T11" s="219" t="n"/>
      <c r="U11" s="219" t="n"/>
      <c r="V11" s="221" t="n"/>
      <c r="W11" s="52" t="n"/>
      <c r="X11" s="52" t="n"/>
      <c r="Y11" s="52" t="n"/>
      <c r="Z11" s="52" t="n"/>
    </row>
    <row r="12" ht="72" customHeight="1" s="188">
      <c r="A12" s="296" t="n">
        <v>7</v>
      </c>
      <c r="B12" s="296" t="inlineStr">
        <is>
          <t>Navigation / case management; Health care; Mental health / recovery; Disability support</t>
        </is>
      </c>
      <c r="C12" s="296" t="inlineStr">
        <is>
          <t>Alliance Health Access and Information Line</t>
        </is>
      </c>
      <c r="D12" s="296" t="inlineStr">
        <is>
          <t>No</t>
        </is>
      </c>
      <c r="E12" s="296" t="inlineStr">
        <is>
          <t>Core</t>
        </is>
      </c>
      <c r="F12" s="296" t="inlineStr">
        <is>
          <t>Finding publicly funded mental-health, substance-use or developmental-disability services.</t>
        </is>
      </c>
      <c r="G12" s="296" t="inlineStr">
        <is>
          <t>Alliance Health service-area residents; funding and clinical eligibility vary.</t>
        </is>
      </c>
      <c r="H12" s="296" t="inlineStr">
        <is>
          <t>24/7 behavioral-health information, screening and provider connection.</t>
        </is>
      </c>
      <c r="I12" s="296" t="inlineStr">
        <is>
          <t>Call the access and information line.</t>
        </is>
      </c>
      <c r="J12" s="296" t="inlineStr">
        <is>
          <t>877-223-4617</t>
        </is>
      </c>
      <c r="K12" s="296" t="inlineStr">
        <is>
          <t>Mecklenburg County and Alliance Health service area.</t>
        </is>
      </c>
      <c r="L12" s="296" t="inlineStr">
        <is>
          <t>Provider openings and funding authorization vary.</t>
        </is>
      </c>
      <c r="M12" s="296" t="inlineStr">
        <is>
          <t>https://www.alliancehealthplan.org/news/new-provider-chosen-for-mecklenburg-county-behavioral-health-crisis-services/</t>
        </is>
      </c>
      <c r="N12" s="328" t="n">
        <v>46239</v>
      </c>
      <c r="O12" s="296" t="inlineStr">
        <is>
          <t>Not contacted</t>
        </is>
      </c>
      <c r="P12" s="296" t="str"/>
      <c r="Q12" s="296" t="inlineStr">
        <is>
          <t>Charlotte / Mecklenburg</t>
        </is>
      </c>
      <c r="R12" s="296" t="inlineStr">
        <is>
          <t>Charlotte / Mecklenburg</t>
        </is>
      </c>
      <c r="S12" s="296" t="inlineStr">
        <is>
          <t>Located in or serving the requested roughly 30-mile Charlotte search area.</t>
        </is>
      </c>
      <c r="T12" s="219" t="n"/>
      <c r="U12" s="219" t="n"/>
      <c r="V12" s="221" t="n"/>
      <c r="W12" s="52" t="n"/>
      <c r="X12" s="52" t="n"/>
      <c r="Y12" s="52" t="n"/>
      <c r="Z12" s="52" t="n"/>
    </row>
    <row r="13" ht="72" customHeight="1" s="188">
      <c r="A13" s="296" t="n">
        <v>8</v>
      </c>
      <c r="B13" s="296" t="inlineStr">
        <is>
          <t>Navigation / case management; Health care; Mental health / recovery; Legal / identity / safety</t>
        </is>
      </c>
      <c r="C13" s="296" t="inlineStr">
        <is>
          <t>911 Emergency Services</t>
        </is>
      </c>
      <c r="D13" s="296" t="inlineStr">
        <is>
          <t>No</t>
        </is>
      </c>
      <c r="E13" s="296" t="inlineStr">
        <is>
          <t>Core</t>
        </is>
      </c>
      <c r="F13" s="296" t="inlineStr">
        <is>
          <t>Immediate danger, violence, overdose, serious injury, fire or a life-threatening medical emergency.</t>
        </is>
      </c>
      <c r="G13" s="296" t="inlineStr">
        <is>
          <t>Anyone in an emergency.</t>
        </is>
      </c>
      <c r="H13" s="296" t="inlineStr">
        <is>
          <t>Police, fire and emergency medical response.</t>
        </is>
      </c>
      <c r="I13" s="296" t="inlineStr">
        <is>
          <t>Call 911 and give the location, nature of the emergency and immediate safety concerns.</t>
        </is>
      </c>
      <c r="J13" s="296" t="inlineStr">
        <is>
          <t>911</t>
        </is>
      </c>
      <c r="K13" s="296" t="inlineStr">
        <is>
          <t>Charlotte / Mecklenburg County.</t>
        </is>
      </c>
      <c r="L13" s="296" t="inlineStr">
        <is>
          <t>Use crisis or non-emergency resources when there is no immediate threat to life or safety.</t>
        </is>
      </c>
      <c r="M13" s="296" t="inlineStr">
        <is>
          <t>https://cit.mecknc.gov/emergency-contacts</t>
        </is>
      </c>
      <c r="N13" s="328" t="n">
        <v>46239</v>
      </c>
      <c r="O13" s="296" t="inlineStr">
        <is>
          <t>Not contacted</t>
        </is>
      </c>
      <c r="P13" s="296" t="str"/>
      <c r="Q13" s="296" t="inlineStr">
        <is>
          <t>Charlotte / Mecklenburg</t>
        </is>
      </c>
      <c r="R13" s="296" t="inlineStr">
        <is>
          <t>Charlotte / Mecklenburg</t>
        </is>
      </c>
      <c r="S13" s="296" t="inlineStr">
        <is>
          <t>Located in or serving the requested roughly 30-mile Charlotte search area.</t>
        </is>
      </c>
      <c r="T13" s="219" t="n"/>
      <c r="U13" s="219" t="n"/>
      <c r="V13" s="221" t="n"/>
      <c r="W13" s="52" t="n"/>
      <c r="X13" s="52" t="n"/>
      <c r="Y13" s="52" t="n"/>
      <c r="Z13" s="52" t="n"/>
    </row>
    <row r="14" ht="72" customHeight="1" s="188">
      <c r="A14" s="296" t="n">
        <v>9</v>
      </c>
      <c r="B14" s="296" t="inlineStr">
        <is>
          <t>Foster care; Housing / homelessness; Education; Mentorship; Soft skills / life skills; Financial capability; Transportation; Community / belonging</t>
        </is>
      </c>
      <c r="C14" s="296" t="inlineStr">
        <is>
          <t>Mecklenburg County LINKS</t>
        </is>
      </c>
      <c r="D14" s="296" t="inlineStr">
        <is>
          <t>Yes</t>
        </is>
      </c>
      <c r="E14" s="296" t="inlineStr">
        <is>
          <t>Core</t>
        </is>
      </c>
      <c r="F14" s="296" t="inlineStr">
        <is>
          <t>A current or former foster youth needs independent-living planning, funding or case coordination.</t>
        </is>
      </c>
      <c r="G14" s="296" t="inlineStr">
        <is>
          <t>Generally youth ages 13–21 who are or were in foster care; specific services depend on custody/status.</t>
        </is>
      </c>
      <c r="H14" s="296" t="inlineStr">
        <is>
          <t>Independent-living assessment, planning, education, housing and other transition assistance.</t>
        </is>
      </c>
      <c r="I14" s="296" t="inlineStr">
        <is>
          <t>Contact Mecklenburg Youth and Family Services / LINKS.</t>
        </is>
      </c>
      <c r="J14" s="296" t="inlineStr">
        <is>
          <t>704-336-KIDS (5437)</t>
        </is>
      </c>
      <c r="K14" s="296" t="inlineStr">
        <is>
          <t>Mecklenburg County.</t>
        </is>
      </c>
      <c r="L14" s="296" t="inlineStr">
        <is>
          <t>Age and custody rules are strict; refer before age 21 whenever possible.</t>
        </is>
      </c>
      <c r="M14" s="296" t="inlineStr">
        <is>
          <t>https://cfas.mecknc.gov/services/adoption-and-foster-care/LINKS</t>
        </is>
      </c>
      <c r="N14" s="328" t="n">
        <v>46239</v>
      </c>
      <c r="O14" s="296" t="inlineStr">
        <is>
          <t>Not contacted</t>
        </is>
      </c>
      <c r="P14" s="296" t="str"/>
      <c r="Q14" s="296" t="inlineStr">
        <is>
          <t>Charlotte / Mecklenburg</t>
        </is>
      </c>
      <c r="R14" s="296" t="inlineStr">
        <is>
          <t>Charlotte / Mecklenburg</t>
        </is>
      </c>
      <c r="S14" s="296" t="inlineStr">
        <is>
          <t>Located in or serving the requested roughly 30-mile Charlotte search area.</t>
        </is>
      </c>
      <c r="T14" s="219" t="n"/>
      <c r="U14" s="219" t="n"/>
      <c r="V14" s="221" t="n"/>
      <c r="W14" s="52" t="n"/>
      <c r="X14" s="52" t="n"/>
      <c r="Y14" s="52" t="n"/>
      <c r="Z14" s="52" t="n"/>
    </row>
    <row r="15" ht="72" customHeight="1" s="188">
      <c r="A15" s="296" t="n">
        <v>10</v>
      </c>
      <c r="B15" s="296" t="inlineStr">
        <is>
          <t>Foster care; Soft skills / life skills; Transportation; Community / belonging</t>
        </is>
      </c>
      <c r="C15" s="296" t="inlineStr">
        <is>
          <t>Mecklenburg Phoenix Project</t>
        </is>
      </c>
      <c r="D15" s="296" t="inlineStr">
        <is>
          <t>Yes</t>
        </is>
      </c>
      <c r="E15" s="296" t="inlineStr">
        <is>
          <t>Core</t>
        </is>
      </c>
      <c r="F15" s="296" t="inlineStr">
        <is>
          <t>A former foster youth under 21 who is no longer in county custody needs transition support.</t>
        </is>
      </c>
      <c r="G15" s="296" t="inlineStr">
        <is>
          <t>Young adults generally under age 21 who left foster care; confirm individual eligibility.</t>
        </is>
      </c>
      <c r="H15" s="296" t="inlineStr">
        <is>
          <t>Post-custody independent-living support, case coordination and access to eligible funds/services.</t>
        </is>
      </c>
      <c r="I15" s="296" t="inlineStr">
        <is>
          <t>Call the Phoenix Project office and request an eligibility review.</t>
        </is>
      </c>
      <c r="J15" s="296" t="inlineStr">
        <is>
          <t>704-336-3290</t>
        </is>
      </c>
      <c r="K15" s="296" t="inlineStr">
        <is>
          <t>Mecklenburg County.</t>
        </is>
      </c>
      <c r="L15" s="296" t="inlineStr">
        <is>
          <t>Do not wait until close to the 21st birthday; funding and services are eligibility-dependent.</t>
        </is>
      </c>
      <c r="M15" s="296" t="inlineStr">
        <is>
          <t>https://cfas.mecknc.gov/services/adoption-and-foster-care/LINKS</t>
        </is>
      </c>
      <c r="N15" s="328" t="n">
        <v>46239</v>
      </c>
      <c r="O15" s="296" t="inlineStr">
        <is>
          <t>Not contacted</t>
        </is>
      </c>
      <c r="P15" s="296" t="str"/>
      <c r="Q15" s="296" t="inlineStr">
        <is>
          <t>Charlotte / Mecklenburg</t>
        </is>
      </c>
      <c r="R15" s="296" t="inlineStr">
        <is>
          <t>Charlotte / Mecklenburg</t>
        </is>
      </c>
      <c r="S15" s="296" t="inlineStr">
        <is>
          <t>Located in or serving the requested roughly 30-mile Charlotte search area.</t>
        </is>
      </c>
      <c r="T15" s="219" t="n"/>
      <c r="U15" s="219" t="n"/>
      <c r="V15" s="221" t="n"/>
      <c r="W15" s="52" t="n"/>
      <c r="X15" s="52" t="n"/>
      <c r="Y15" s="52" t="n"/>
      <c r="Z15" s="52" t="n"/>
    </row>
    <row r="16" ht="72" customHeight="1" s="188">
      <c r="A16" s="296" t="n">
        <v>11</v>
      </c>
      <c r="B16" s="296" t="inlineStr">
        <is>
          <t>Foster care; Financial capability; Community / belonging</t>
        </is>
      </c>
      <c r="C16" s="296" t="inlineStr">
        <is>
          <t>NC Foster Care 18 to 21 / Voluntary Placement Agreement</t>
        </is>
      </c>
      <c r="D16" s="296" t="inlineStr">
        <is>
          <t>Yes</t>
        </is>
      </c>
      <c r="E16" s="296" t="inlineStr">
        <is>
          <t>Core</t>
        </is>
      </c>
      <c r="F16" s="296" t="inlineStr">
        <is>
          <t>A youth is approaching age 18 in foster care and needs continued placement, case management or financial support.</t>
        </is>
      </c>
      <c r="G16" s="296" t="inlineStr">
        <is>
          <t>Youth who meet North Carolina's criteria and enter a voluntary agreement; generally available until age 21.</t>
        </is>
      </c>
      <c r="H16" s="296" t="inlineStr">
        <is>
          <t>Continued foster-care placement, case management, resources and financial assistance while pursuing an approved path.</t>
        </is>
      </c>
      <c r="I16" s="296" t="inlineStr">
        <is>
          <t>Ask the county social worker before discharge from care; review the state eligibility rules.</t>
        </is>
      </c>
      <c r="J16" s="296" t="str"/>
      <c r="K16" s="296" t="inlineStr">
        <is>
          <t>North Carolina; administered through county child welfare.</t>
        </is>
      </c>
      <c r="L16" s="296" t="inlineStr">
        <is>
          <t>Timing matters. Leaving care without completing the agreement can make access harder.</t>
        </is>
      </c>
      <c r="M16" s="296" t="inlineStr">
        <is>
          <t>https://www.ncdhhs.gov/assistance/guardianship/independent-living-services-transitional-age-youth</t>
        </is>
      </c>
      <c r="N16" s="328" t="n">
        <v>46239</v>
      </c>
      <c r="O16" s="296" t="inlineStr">
        <is>
          <t>Not contacted</t>
        </is>
      </c>
      <c r="P16" s="296" t="str"/>
      <c r="Q16" s="296" t="inlineStr">
        <is>
          <t>Statewide / national</t>
        </is>
      </c>
      <c r="R16" s="296" t="inlineStr">
        <is>
          <t>Statewide / national</t>
        </is>
      </c>
      <c r="S16" s="296" t="inlineStr">
        <is>
          <t>Statewide or national fallback resource accessible from the Charlotte area.</t>
        </is>
      </c>
      <c r="T16" s="219" t="n"/>
      <c r="U16" s="219" t="n"/>
      <c r="V16" s="221" t="n"/>
      <c r="W16" s="52" t="n"/>
      <c r="X16" s="52" t="n"/>
      <c r="Y16" s="52" t="n"/>
      <c r="Z16" s="52" t="n"/>
    </row>
    <row r="17" ht="72" customHeight="1" s="188">
      <c r="A17" s="296" t="n">
        <v>12</v>
      </c>
      <c r="B17" s="296" t="inlineStr">
        <is>
          <t>Foster care; Housing / homelessness; Food / essentials; Health care; Financial capability; Transportation; Community / belonging</t>
        </is>
      </c>
      <c r="C17" s="296" t="inlineStr">
        <is>
          <t>Mecklenburg GEAR Up Supplemental Income Pilot</t>
        </is>
      </c>
      <c r="D17" s="296" t="inlineStr">
        <is>
          <t>Yes</t>
        </is>
      </c>
      <c r="E17" s="296" t="inlineStr">
        <is>
          <t>Verify</t>
        </is>
      </c>
      <c r="F17" s="296" t="inlineStr">
        <is>
          <t>An eligible young adult aging out needs flexible monthly cash support for rent, food, transportation or other stability needs.</t>
        </is>
      </c>
      <c r="G17" s="296" t="inlineStr">
        <is>
          <t>Pilot announced for certain Mecklenburg young adults ages 18–21 aging out of foster care.</t>
        </is>
      </c>
      <c r="H17" s="296" t="inlineStr">
        <is>
          <t>Monthly supplemental income plus support coordination.</t>
        </is>
      </c>
      <c r="I17" s="296" t="inlineStr">
        <is>
          <t>Call Mecklenburg LINKS at 704-336-KIDS and ask whether the pilot is still enrolling or accepting referrals.</t>
        </is>
      </c>
      <c r="J17" s="296" t="inlineStr">
        <is>
          <t>704-336-KIDS (5437)</t>
        </is>
      </c>
      <c r="K17" s="296" t="inlineStr">
        <is>
          <t>Mecklenburg County.</t>
        </is>
      </c>
      <c r="L17" s="296" t="inlineStr">
        <is>
          <t>Pilot status, enrollment slots and funding beyond the announced cohort were not confirmed for August 2026.</t>
        </is>
      </c>
      <c r="M17" s="296" t="inlineStr">
        <is>
          <t>https://news.mecknc.gov/gear-supplemental-income-pilot-program-young-adults-aging-out-foster-care</t>
        </is>
      </c>
      <c r="N17" s="328" t="n">
        <v>46239</v>
      </c>
      <c r="O17" s="296" t="inlineStr">
        <is>
          <t>Not contacted</t>
        </is>
      </c>
      <c r="P17" s="296" t="str"/>
      <c r="Q17" s="296" t="inlineStr">
        <is>
          <t>Charlotte / Mecklenburg</t>
        </is>
      </c>
      <c r="R17" s="296" t="inlineStr">
        <is>
          <t>Charlotte / Mecklenburg</t>
        </is>
      </c>
      <c r="S17" s="296" t="inlineStr">
        <is>
          <t>Located in or serving the requested roughly 30-mile Charlotte search area.</t>
        </is>
      </c>
      <c r="T17" s="219" t="n"/>
      <c r="U17" s="219" t="n"/>
      <c r="V17" s="221" t="n"/>
      <c r="W17" s="52" t="n"/>
      <c r="X17" s="52" t="n"/>
      <c r="Y17" s="52" t="n"/>
      <c r="Z17" s="52" t="n"/>
    </row>
    <row r="18" ht="72" customHeight="1" s="188">
      <c r="A18" s="296" t="n">
        <v>13</v>
      </c>
      <c r="B18" s="296" t="inlineStr">
        <is>
          <t>Foster care; Health care; Education; Community / belonging</t>
        </is>
      </c>
      <c r="C18" s="296" t="inlineStr">
        <is>
          <t>NC Medicaid for Former Foster Care Youth</t>
        </is>
      </c>
      <c r="D18" s="296" t="inlineStr">
        <is>
          <t>Yes</t>
        </is>
      </c>
      <c r="E18" s="296" t="inlineStr">
        <is>
          <t>Core</t>
        </is>
      </c>
      <c r="F18" s="296" t="inlineStr">
        <is>
          <t>A young adult who aged out of foster care needs health coverage.</t>
        </is>
      </c>
      <c r="G18" s="296" t="inlineStr">
        <is>
          <t>Certain young adults under age 26 who were in foster care and enrolled in Medicaid when they aged out; rules depend on foster-care state and history.</t>
        </is>
      </c>
      <c r="H18" s="296" t="inlineStr">
        <is>
          <t>Medicaid medical and behavioral-health coverage.</t>
        </is>
      </c>
      <c r="I18" s="296" t="inlineStr">
        <is>
          <t>Apply through ePASS or Mecklenburg County and explicitly identify former foster-care status.</t>
        </is>
      </c>
      <c r="J18" s="296" t="inlineStr">
        <is>
          <t>704-336-3000</t>
        </is>
      </c>
      <c r="K18" s="296" t="inlineStr">
        <is>
          <t>North Carolina.</t>
        </is>
      </c>
      <c r="L18" s="296" t="inlineStr">
        <is>
          <t>Eligibility details changed under federal/state policy; obtain a formal Medicaid determination rather than assuming eligibility.</t>
        </is>
      </c>
      <c r="M18" s="296" t="inlineStr">
        <is>
          <t>https://www.ncdhhs.gov/assistance/guardianship/independent-living-services-transitional-age-youth</t>
        </is>
      </c>
      <c r="N18" s="328" t="n">
        <v>46239</v>
      </c>
      <c r="O18" s="296" t="inlineStr">
        <is>
          <t>Not contacted</t>
        </is>
      </c>
      <c r="P18" s="296" t="str"/>
      <c r="Q18" s="296" t="inlineStr">
        <is>
          <t>Statewide / national</t>
        </is>
      </c>
      <c r="R18" s="296" t="inlineStr">
        <is>
          <t>Statewide / national</t>
        </is>
      </c>
      <c r="S18" s="296" t="inlineStr">
        <is>
          <t>Statewide or national fallback resource accessible from the Charlotte area.</t>
        </is>
      </c>
      <c r="T18" s="219" t="n"/>
      <c r="U18" s="219" t="n"/>
      <c r="V18" s="221" t="n"/>
      <c r="W18" s="52" t="n"/>
      <c r="X18" s="52" t="n"/>
      <c r="Y18" s="52" t="n"/>
      <c r="Z18" s="52" t="n"/>
    </row>
    <row r="19" ht="72" customHeight="1" s="188">
      <c r="A19" s="296" t="n">
        <v>14</v>
      </c>
      <c r="B19" s="296" t="inlineStr">
        <is>
          <t>Foster care; Housing / homelessness; Health care; Financial capability; Community / belonging</t>
        </is>
      </c>
      <c r="C19" s="296" t="inlineStr">
        <is>
          <t>NC Medicaid Children and Families Specialty Plan</t>
        </is>
      </c>
      <c r="D19" s="296" t="inlineStr">
        <is>
          <t>Yes</t>
        </is>
      </c>
      <c r="E19" s="296" t="inlineStr">
        <is>
          <t>Core</t>
        </is>
      </c>
      <c r="F19" s="296" t="inlineStr">
        <is>
          <t>A Medicaid-enrolled young adult with current or former child-welfare involvement needs coordinated physical, behavioral and social care.</t>
        </is>
      </c>
      <c r="G19" s="296" t="inlineStr">
        <is>
          <t>Eligible Medicaid beneficiaries involved with the child-welfare system, including certain former foster youth under 26.</t>
        </is>
      </c>
      <c r="H19" s="296" t="inlineStr">
        <is>
          <t>Specialized Medicaid health plan with care management and trauma-informed provider coordination.</t>
        </is>
      </c>
      <c r="I19" s="296" t="inlineStr">
        <is>
          <t>Confirm enrollment through NC Medicaid / the specialty plan and update contact information.</t>
        </is>
      </c>
      <c r="J19" s="296" t="str"/>
      <c r="K19" s="296" t="inlineStr">
        <is>
          <t>North Carolina.</t>
        </is>
      </c>
      <c r="L19" s="296" t="inlineStr">
        <is>
          <t>Enrollment is eligibility-based; not every former foster youth will be automatically assigned.</t>
        </is>
      </c>
      <c r="M19" s="296" t="inlineStr">
        <is>
          <t>https://medicaid.ncdhhs.gov/beneficiaries/children-and-families-specialty-plan</t>
        </is>
      </c>
      <c r="N19" s="328" t="n">
        <v>46239</v>
      </c>
      <c r="O19" s="296" t="inlineStr">
        <is>
          <t>Not contacted</t>
        </is>
      </c>
      <c r="P19" s="296" t="str"/>
      <c r="Q19" s="296" t="inlineStr">
        <is>
          <t>Statewide / national</t>
        </is>
      </c>
      <c r="R19" s="296" t="inlineStr">
        <is>
          <t>Statewide / national</t>
        </is>
      </c>
      <c r="S19" s="296" t="inlineStr">
        <is>
          <t>Statewide or national fallback resource accessible from the Charlotte area.</t>
        </is>
      </c>
      <c r="T19" s="219" t="n"/>
      <c r="U19" s="219" t="n"/>
      <c r="V19" s="221" t="n"/>
      <c r="W19" s="52" t="n"/>
      <c r="X19" s="52" t="n"/>
      <c r="Y19" s="52" t="n"/>
      <c r="Z19" s="52" t="n"/>
    </row>
    <row r="20" ht="72" customHeight="1" s="188">
      <c r="A20" s="296" t="n">
        <v>15</v>
      </c>
      <c r="B20" s="296" t="inlineStr">
        <is>
          <t>Foster care; Health care; Education; Community / belonging</t>
        </is>
      </c>
      <c r="C20" s="296" t="inlineStr">
        <is>
          <t>NC Reach</t>
        </is>
      </c>
      <c r="D20" s="296" t="inlineStr">
        <is>
          <t>Yes</t>
        </is>
      </c>
      <c r="E20" s="296" t="inlineStr">
        <is>
          <t>Core</t>
        </is>
      </c>
      <c r="F20" s="296" t="inlineStr">
        <is>
          <t>Paying tuition and school costs at a North Carolina public college or university.</t>
        </is>
      </c>
      <c r="G20" s="296" t="inlineStr">
        <is>
          <t>Eligible NC residents who aged out of foster care at 18 or were adopted from foster care after age 12; must attend at least half time at an eligible NC public institution.</t>
        </is>
      </c>
      <c r="H20" s="296" t="inlineStr">
        <is>
          <t>State-funded last-dollar scholarship and student support.</t>
        </is>
      </c>
      <c r="I20" s="296" t="inlineStr">
        <is>
          <t>Complete FAFSA and apply through NC Reach / CFNC.</t>
        </is>
      </c>
      <c r="J20" s="296" t="str"/>
      <c r="K20" s="296" t="inlineStr">
        <is>
          <t>North Carolina public community colleges and universities.</t>
        </is>
      </c>
      <c r="L20" s="296" t="inlineStr">
        <is>
          <t>Deadlines and satisfactory academic progress apply; begin before enrollment.</t>
        </is>
      </c>
      <c r="M20" s="296" t="inlineStr">
        <is>
          <t>https://www.cfnc.org/pay-for-college/scholarship-search/nc-reach/</t>
        </is>
      </c>
      <c r="N20" s="328" t="n">
        <v>46239</v>
      </c>
      <c r="O20" s="296" t="inlineStr">
        <is>
          <t>Not contacted</t>
        </is>
      </c>
      <c r="P20" s="296" t="str"/>
      <c r="Q20" s="296" t="inlineStr">
        <is>
          <t>Statewide / national</t>
        </is>
      </c>
      <c r="R20" s="296" t="inlineStr">
        <is>
          <t>Statewide / national</t>
        </is>
      </c>
      <c r="S20" s="296" t="inlineStr">
        <is>
          <t>Statewide or national fallback resource accessible from the Charlotte area.</t>
        </is>
      </c>
      <c r="T20" s="219" t="n"/>
      <c r="U20" s="219" t="n"/>
      <c r="V20" s="221" t="n"/>
      <c r="W20" s="52" t="n"/>
      <c r="X20" s="52" t="n"/>
      <c r="Y20" s="52" t="n"/>
      <c r="Z20" s="52" t="n"/>
    </row>
    <row r="21" ht="72" customHeight="1" s="188">
      <c r="A21" s="296" t="n">
        <v>16</v>
      </c>
      <c r="B21" s="296" t="inlineStr">
        <is>
          <t>Foster care; Housing / homelessness; Education; Financial capability; Community / belonging</t>
        </is>
      </c>
      <c r="C21" s="296" t="inlineStr">
        <is>
          <t>Education and Training Voucher (ETV)</t>
        </is>
      </c>
      <c r="D21" s="296" t="inlineStr">
        <is>
          <t>Yes</t>
        </is>
      </c>
      <c r="E21" s="296" t="inlineStr">
        <is>
          <t>Core</t>
        </is>
      </c>
      <c r="F21" s="296" t="inlineStr">
        <is>
          <t>Paying education, training, housing, books or other approved postsecondary costs.</t>
        </is>
      </c>
      <c r="G21" s="296" t="inlineStr">
        <is>
          <t>Eligible current/former foster youth and some youth adopted or placed in guardianship; age and status rules apply.</t>
        </is>
      </c>
      <c r="H21" s="296" t="inlineStr">
        <is>
          <t>Federal voucher funding of up to the program limit for eligible postsecondary expenses.</t>
        </is>
      </c>
      <c r="I21" s="296" t="inlineStr">
        <is>
          <t>Apply through the Foster Care to Success ETV portal and coordinate with LINKS/financial aid.</t>
        </is>
      </c>
      <c r="J21" s="296" t="str"/>
      <c r="K21" s="296" t="inlineStr">
        <is>
          <t>North Carolina / nationwide eligible schools.</t>
        </is>
      </c>
      <c r="L21" s="296" t="inlineStr">
        <is>
          <t>Awards depend on eligibility, annual funding, enrollment and documentation; do not assume the full maximum.</t>
        </is>
      </c>
      <c r="M21" s="296" t="inlineStr">
        <is>
          <t>https://www.fc2sprograms.org/</t>
        </is>
      </c>
      <c r="N21" s="328" t="n">
        <v>46239</v>
      </c>
      <c r="O21" s="296" t="inlineStr">
        <is>
          <t>Not contacted</t>
        </is>
      </c>
      <c r="P21" s="296" t="str"/>
      <c r="Q21" s="296" t="inlineStr">
        <is>
          <t>Statewide / national</t>
        </is>
      </c>
      <c r="R21" s="296" t="inlineStr">
        <is>
          <t>Statewide / national</t>
        </is>
      </c>
      <c r="S21" s="296" t="inlineStr">
        <is>
          <t>Statewide or national fallback resource accessible from the Charlotte area.</t>
        </is>
      </c>
      <c r="T21" s="219" t="n"/>
      <c r="U21" s="219" t="n"/>
      <c r="V21" s="221" t="n"/>
      <c r="W21" s="52" t="n"/>
      <c r="X21" s="52" t="n"/>
      <c r="Y21" s="52" t="n"/>
      <c r="Z21" s="52" t="n"/>
    </row>
    <row r="22" ht="72" customHeight="1" s="188">
      <c r="A22" s="296" t="n">
        <v>17</v>
      </c>
      <c r="B22" s="296" t="inlineStr">
        <is>
          <t>Foster care; Housing / homelessness; Health care; Employment / workforce; Education; Mentorship; Soft skills / life skills; Community / belonging</t>
        </is>
      </c>
      <c r="C22" s="296" t="inlineStr">
        <is>
          <t>Youth Villages LifeSet</t>
        </is>
      </c>
      <c r="D22" s="296" t="inlineStr">
        <is>
          <t>Yes</t>
        </is>
      </c>
      <c r="E22" s="296" t="inlineStr">
        <is>
          <t>Core</t>
        </is>
      </c>
      <c r="F22" s="296" t="inlineStr">
        <is>
          <t>A young adult leaving foster care needs intensive, relationship-based help with housing, work, education, health and daily living.</t>
        </is>
      </c>
      <c r="G22" s="296" t="inlineStr">
        <is>
          <t>Generally ages 17.5–23 leaving foster care; local referral and program criteria apply.</t>
        </is>
      </c>
      <c r="H22" s="296" t="inlineStr">
        <is>
          <t>Community-based specialist support focused on stable housing, employment, education, relationships and well-being.</t>
        </is>
      </c>
      <c r="I22" s="296" t="inlineStr">
        <is>
          <t>Contact Youth Villages North Carolina and request a LifeSet referral assessment.</t>
        </is>
      </c>
      <c r="J22" s="296" t="str"/>
      <c r="K22" s="296" t="inlineStr">
        <is>
          <t>Charlotte / North Carolina service areas.</t>
        </is>
      </c>
      <c r="L22" s="296" t="inlineStr">
        <is>
          <t>Capacity and referral-source requirements vary; verify local Charlotte openings.</t>
        </is>
      </c>
      <c r="M22" s="296" t="inlineStr">
        <is>
          <t>https://youthvillages.org/services/lifeset/</t>
        </is>
      </c>
      <c r="N22" s="328" t="n">
        <v>46239</v>
      </c>
      <c r="O22" s="296" t="inlineStr">
        <is>
          <t>Not contacted</t>
        </is>
      </c>
      <c r="P22" s="296" t="str"/>
      <c r="Q22" s="296" t="inlineStr">
        <is>
          <t>Charlotte / Mecklenburg</t>
        </is>
      </c>
      <c r="R22" s="296" t="inlineStr">
        <is>
          <t>Charlotte / Mecklenburg</t>
        </is>
      </c>
      <c r="S22" s="296" t="inlineStr">
        <is>
          <t>Located in or serving the requested roughly 30-mile Charlotte search area.</t>
        </is>
      </c>
      <c r="T22" s="219" t="n"/>
      <c r="U22" s="219" t="n"/>
      <c r="V22" s="221" t="n"/>
      <c r="W22" s="52" t="n"/>
      <c r="X22" s="52" t="n"/>
      <c r="Y22" s="52" t="n"/>
      <c r="Z22" s="52" t="n"/>
    </row>
    <row r="23" ht="72" customHeight="1" s="188">
      <c r="A23" s="296" t="n">
        <v>18</v>
      </c>
      <c r="B23" s="296" t="inlineStr">
        <is>
          <t>Foster care; Housing / homelessness; Employment / workforce; Education; Mentorship; Soft skills / life skills; Community / belonging</t>
        </is>
      </c>
      <c r="C23" s="296" t="inlineStr">
        <is>
          <t>The Relatives — On Ramp Resource Center</t>
        </is>
      </c>
      <c r="D23" s="296" t="inlineStr">
        <is>
          <t>Partial</t>
        </is>
      </c>
      <c r="E23" s="296" t="inlineStr">
        <is>
          <t>Core</t>
        </is>
      </c>
      <c r="F23" s="296" t="inlineStr">
        <is>
          <t>A young adult ages 16–24 needs one place for broad youth-centered case management and resource connection.</t>
        </is>
      </c>
      <c r="G23" s="296" t="inlineStr">
        <is>
          <t>Young people ages 16–24 in Mecklenburg County; foster-care history is not required.</t>
        </is>
      </c>
      <c r="H23" s="296" t="inlineStr">
        <is>
          <t>Case management, employment, education, housing navigation, basic needs and connections to partner services.</t>
        </is>
      </c>
      <c r="I23" s="296" t="inlineStr">
        <is>
          <t>Walk in or call the resource center.</t>
        </is>
      </c>
      <c r="J23" s="296" t="inlineStr">
        <is>
          <t>704-344-1111</t>
        </is>
      </c>
      <c r="K23" s="296" t="inlineStr">
        <is>
          <t>2219 Freedom Drive, Charlotte, NC 28208.</t>
        </is>
      </c>
      <c r="L23" s="296" t="inlineStr">
        <is>
          <t>Hours and same-day service capacity can change; call before traveling.</t>
        </is>
      </c>
      <c r="M23" s="296" t="inlineStr">
        <is>
          <t>https://therelatives.org/our-programs/on-ramp-resource-center/</t>
        </is>
      </c>
      <c r="N23" s="328" t="n">
        <v>46239</v>
      </c>
      <c r="O23" s="296" t="inlineStr">
        <is>
          <t>Not contacted</t>
        </is>
      </c>
      <c r="P23" s="296" t="str"/>
      <c r="Q23" s="296" t="inlineStr">
        <is>
          <t>Charlotte / Mecklenburg</t>
        </is>
      </c>
      <c r="R23" s="296" t="inlineStr">
        <is>
          <t>Charlotte / Mecklenburg</t>
        </is>
      </c>
      <c r="S23" s="296" t="inlineStr">
        <is>
          <t>Located in or serving the requested roughly 30-mile Charlotte search area.</t>
        </is>
      </c>
      <c r="T23" s="219" t="n"/>
      <c r="U23" s="219" t="n"/>
      <c r="V23" s="221" t="n"/>
      <c r="W23" s="52" t="n"/>
      <c r="X23" s="52" t="n"/>
      <c r="Y23" s="52" t="n"/>
      <c r="Z23" s="52" t="n"/>
    </row>
    <row r="24" ht="72" customHeight="1" s="188">
      <c r="A24" s="296" t="n">
        <v>19</v>
      </c>
      <c r="B24" s="296" t="inlineStr">
        <is>
          <t>Foster care; Housing / homelessness; Health care; Soft skills / life skills; Legal / identity / safety; Community / belonging</t>
        </is>
      </c>
      <c r="C24" s="296" t="inlineStr">
        <is>
          <t>The Relatives — Young Adult Housing</t>
        </is>
      </c>
      <c r="D24" s="296" t="inlineStr">
        <is>
          <t>Partial</t>
        </is>
      </c>
      <c r="E24" s="296" t="inlineStr">
        <is>
          <t>Core</t>
        </is>
      </c>
      <c r="F24" s="296" t="inlineStr">
        <is>
          <t>A young adult ages 18–24 is homeless, at risk of homelessness or fleeing domestic violence.</t>
        </is>
      </c>
      <c r="G24" s="296" t="inlineStr">
        <is>
          <t>Young adults ages 18–24 meeting the program's housing-risk criteria.</t>
        </is>
      </c>
      <c r="H24" s="296" t="inlineStr">
        <is>
          <t>Scattered-site housing plus case management and support toward long-term stability.</t>
        </is>
      </c>
      <c r="I24" s="296" t="inlineStr">
        <is>
          <t>Contact The Relatives and ask for young-adult housing screening.</t>
        </is>
      </c>
      <c r="J24" s="296" t="inlineStr">
        <is>
          <t>704-344-1111</t>
        </is>
      </c>
      <c r="K24" s="296" t="inlineStr">
        <is>
          <t>Mecklenburg County.</t>
        </is>
      </c>
      <c r="L24" s="296" t="inlineStr">
        <is>
          <t>Units and subsidies are limited; eligibility does not guarantee immediate placement.</t>
        </is>
      </c>
      <c r="M24" s="296" t="inlineStr">
        <is>
          <t>https://therelatives.org/our-programs/housing/</t>
        </is>
      </c>
      <c r="N24" s="328" t="n">
        <v>46239</v>
      </c>
      <c r="O24" s="296" t="inlineStr">
        <is>
          <t>Not contacted</t>
        </is>
      </c>
      <c r="P24" s="296" t="str"/>
      <c r="Q24" s="296" t="inlineStr">
        <is>
          <t>Charlotte / Mecklenburg</t>
        </is>
      </c>
      <c r="R24" s="296" t="inlineStr">
        <is>
          <t>Charlotte / Mecklenburg</t>
        </is>
      </c>
      <c r="S24" s="296" t="inlineStr">
        <is>
          <t>Located in or serving the requested roughly 30-mile Charlotte search area.</t>
        </is>
      </c>
      <c r="T24" s="219" t="n"/>
      <c r="U24" s="219" t="n"/>
      <c r="V24" s="221" t="n"/>
      <c r="W24" s="52" t="n"/>
      <c r="X24" s="52" t="n"/>
      <c r="Y24" s="52" t="n"/>
      <c r="Z24" s="52" t="n"/>
    </row>
    <row r="25" ht="72" customHeight="1" s="188">
      <c r="A25" s="296" t="n">
        <v>20</v>
      </c>
      <c r="B25" s="296" t="inlineStr">
        <is>
          <t>Foster care; Mentorship; Soft skills / life skills; Legal / identity / safety; Community / belonging</t>
        </is>
      </c>
      <c r="C25" s="296" t="inlineStr">
        <is>
          <t>Charlotte Angels — Dare to Dream</t>
        </is>
      </c>
      <c r="D25" s="296" t="inlineStr">
        <is>
          <t>Yes</t>
        </is>
      </c>
      <c r="E25" s="296" t="inlineStr">
        <is>
          <t>Specialized</t>
        </is>
      </c>
      <c r="F25" s="296" t="inlineStr">
        <is>
          <t>A youth or young adult in foster care needs a consistent mentor and relational support.</t>
        </is>
      </c>
      <c r="G25" s="296" t="inlineStr">
        <is>
          <t>Youth and young adults in foster care, generally ages 11–22; matching criteria apply.</t>
        </is>
      </c>
      <c r="H25" s="296" t="inlineStr">
        <is>
          <t>Long-term volunteer mentoring, goal support and relational consistency.</t>
        </is>
      </c>
      <c r="I25" s="296" t="inlineStr">
        <is>
          <t>Submit a youth/mentor inquiry through Charlotte Angels.</t>
        </is>
      </c>
      <c r="J25" s="296" t="str"/>
      <c r="K25" s="296" t="inlineStr">
        <is>
          <t>Greater Charlotte area.</t>
        </is>
      </c>
      <c r="L25" s="296" t="inlineStr">
        <is>
          <t>Mentor matching depends on volunteer availability and safety-screening processes.</t>
        </is>
      </c>
      <c r="M25" s="296" t="inlineStr">
        <is>
          <t>https://www.charlotteangels.org/mentor</t>
        </is>
      </c>
      <c r="N25" s="328" t="n">
        <v>46239</v>
      </c>
      <c r="O25" s="296" t="inlineStr">
        <is>
          <t>Not contacted</t>
        </is>
      </c>
      <c r="P25" s="296" t="str"/>
      <c r="Q25" s="296" t="inlineStr">
        <is>
          <t>Charlotte / Mecklenburg</t>
        </is>
      </c>
      <c r="R25" s="296" t="inlineStr">
        <is>
          <t>Charlotte / Mecklenburg</t>
        </is>
      </c>
      <c r="S25" s="296" t="inlineStr">
        <is>
          <t>Located in or serving the requested roughly 30-mile Charlotte search area.</t>
        </is>
      </c>
      <c r="T25" s="219" t="n"/>
      <c r="U25" s="219" t="n"/>
      <c r="V25" s="221" t="n"/>
      <c r="W25" s="52" t="n"/>
      <c r="X25" s="52" t="n"/>
      <c r="Y25" s="52" t="n"/>
      <c r="Z25" s="52" t="n"/>
    </row>
    <row r="26" ht="72" customHeight="1" s="188">
      <c r="A26" s="296" t="n">
        <v>21</v>
      </c>
      <c r="B26" s="296" t="inlineStr">
        <is>
          <t>Foster care; Housing / homelessness; Mentorship; Soft skills / life skills; Transportation; Community / belonging</t>
        </is>
      </c>
      <c r="C26" s="296" t="inlineStr">
        <is>
          <t>SaySo / Strong Able Youth Speaking Out</t>
        </is>
      </c>
      <c r="D26" s="296" t="inlineStr">
        <is>
          <t>Yes</t>
        </is>
      </c>
      <c r="E26" s="296" t="inlineStr">
        <is>
          <t>Specialized</t>
        </is>
      </c>
      <c r="F26" s="296" t="inlineStr">
        <is>
          <t>A current or former foster youth wants peer connection, leadership, advocacy and transition information.</t>
        </is>
      </c>
      <c r="G26" s="296" t="inlineStr">
        <is>
          <t>Young people with out-of-home-care experience; published age ranges vary by activity, generally teens through mid-20s.</t>
        </is>
      </c>
      <c r="H26" s="296" t="inlineStr">
        <is>
          <t>Youth-led peer network, conferences, advocacy, leadership and transition resources.</t>
        </is>
      </c>
      <c r="I26" s="296" t="inlineStr">
        <is>
          <t>Join through SaySo or Children's Home Society of North Carolina.</t>
        </is>
      </c>
      <c r="J26" s="296" t="str"/>
      <c r="K26" s="296" t="inlineStr">
        <is>
          <t>Statewide North Carolina.</t>
        </is>
      </c>
      <c r="L26" s="296" t="inlineStr">
        <is>
          <t>Confirm the age range and event eligibility for the specific activity.</t>
        </is>
      </c>
      <c r="M26" s="296" t="inlineStr">
        <is>
          <t>https://chsnc.org/programs-services/sayso/</t>
        </is>
      </c>
      <c r="N26" s="328" t="n">
        <v>46239</v>
      </c>
      <c r="O26" s="296" t="inlineStr">
        <is>
          <t>Not contacted</t>
        </is>
      </c>
      <c r="P26" s="296" t="str"/>
      <c r="Q26" s="296" t="inlineStr">
        <is>
          <t>Statewide / national</t>
        </is>
      </c>
      <c r="R26" s="296" t="inlineStr">
        <is>
          <t>Statewide / national</t>
        </is>
      </c>
      <c r="S26" s="296" t="inlineStr">
        <is>
          <t>Statewide or national fallback resource accessible from the Charlotte area.</t>
        </is>
      </c>
      <c r="T26" s="219" t="n"/>
      <c r="U26" s="219" t="n"/>
      <c r="V26" s="221" t="n"/>
      <c r="W26" s="52" t="n"/>
      <c r="X26" s="52" t="n"/>
      <c r="Y26" s="52" t="n"/>
      <c r="Z26" s="52" t="n"/>
    </row>
    <row r="27" ht="72" customHeight="1" s="188">
      <c r="A27" s="296" t="n">
        <v>22</v>
      </c>
      <c r="B27" s="296" t="inlineStr">
        <is>
          <t>Foster care; Housing / homelessness; Financial capability; Community / belonging</t>
        </is>
      </c>
      <c r="C27" s="296" t="inlineStr">
        <is>
          <t>HUD Foster Youth to Independence (FYI) Voucher</t>
        </is>
      </c>
      <c r="D27" s="296" t="inlineStr">
        <is>
          <t>Yes</t>
        </is>
      </c>
      <c r="E27" s="296" t="inlineStr">
        <is>
          <t>Verify</t>
        </is>
      </c>
      <c r="F27" s="296" t="inlineStr">
        <is>
          <t>A former foster youth ages 18–24 is homeless or at risk and needs a time-limited housing voucher.</t>
        </is>
      </c>
      <c r="G27" s="296" t="inlineStr">
        <is>
          <t>Federal criteria generally include leaving foster care, ages 18–24 and homelessness/housing instability; local referral partnership is required.</t>
        </is>
      </c>
      <c r="H27" s="296" t="inlineStr">
        <is>
          <t>Housing Choice Voucher assistance with supportive services for eligible former foster youth.</t>
        </is>
      </c>
      <c r="I27" s="296" t="inlineStr">
        <is>
          <t>Ask Mecklenburg LINKS and INLIVIAN whether an active FYI referral pathway currently exists.</t>
        </is>
      </c>
      <c r="J27" s="296" t="str"/>
      <c r="K27" s="296" t="inlineStr">
        <is>
          <t>Potentially Charlotte/Mecklenburg if locally implemented.</t>
        </is>
      </c>
      <c r="L27" s="296" t="inlineStr">
        <is>
          <t>Federal availability does not prove local voucher availability. Treat this as a referral-pathway lead until INLIVIAN confirms.</t>
        </is>
      </c>
      <c r="M27" s="296" t="inlineStr">
        <is>
          <t>https://www.hud.gov/hud-partners/public-indian-housing-fyi</t>
        </is>
      </c>
      <c r="N27" s="328" t="n">
        <v>46239</v>
      </c>
      <c r="O27" s="296" t="inlineStr">
        <is>
          <t>Not contacted</t>
        </is>
      </c>
      <c r="P27" s="296" t="str"/>
      <c r="Q27" s="296" t="inlineStr">
        <is>
          <t>Charlotte / Mecklenburg</t>
        </is>
      </c>
      <c r="R27" s="296" t="inlineStr">
        <is>
          <t>Charlotte / Mecklenburg</t>
        </is>
      </c>
      <c r="S27" s="296" t="inlineStr">
        <is>
          <t>Located in or serving the requested roughly 30-mile Charlotte search area.</t>
        </is>
      </c>
      <c r="T27" s="219" t="n"/>
      <c r="U27" s="219" t="n"/>
      <c r="V27" s="221" t="n"/>
      <c r="W27" s="52" t="n"/>
      <c r="X27" s="52" t="n"/>
      <c r="Y27" s="52" t="n"/>
      <c r="Z27" s="52" t="n"/>
    </row>
    <row r="28" ht="72" customHeight="1" s="188">
      <c r="A28" s="296" t="n">
        <v>23</v>
      </c>
      <c r="B28" s="296" t="inlineStr">
        <is>
          <t>Foster care; Housing / homelessness; Legal / identity / safety; Community / belonging</t>
        </is>
      </c>
      <c r="C28" s="296" t="inlineStr">
        <is>
          <t>I Am Here Vital Document Legal Hotline</t>
        </is>
      </c>
      <c r="D28" s="296" t="inlineStr">
        <is>
          <t>Partial</t>
        </is>
      </c>
      <c r="E28" s="296" t="inlineStr">
        <is>
          <t>Specialized</t>
        </is>
      </c>
      <c r="F28" s="296" t="inlineStr">
        <is>
          <t>A young person experiencing homelessness lacks a birth certificate, state ID or other vital document.</t>
        </is>
      </c>
      <c r="G28" s="296" t="inlineStr">
        <is>
          <t>Young people experiencing homelessness; case eligibility is assessed by the hotline.</t>
        </is>
      </c>
      <c r="H28" s="296" t="inlineStr">
        <is>
          <t>Free legal help obtaining identification and vital documents.</t>
        </is>
      </c>
      <c r="I28" s="296" t="inlineStr">
        <is>
          <t>Call or text the hotline and leave a message if unanswered.</t>
        </is>
      </c>
      <c r="J28" s="296" t="inlineStr">
        <is>
          <t>1-888-870-DOCS</t>
        </is>
      </c>
      <c r="K28" s="296" t="inlineStr">
        <is>
          <t>Nationwide; accessible from Charlotte.</t>
        </is>
      </c>
      <c r="L28" s="296" t="inlineStr">
        <is>
          <t>Published hotline hours have varied; confirm the current schedule and expect callback-based service.</t>
        </is>
      </c>
      <c r="M28" s="296" t="inlineStr">
        <is>
          <t>https://nn4youth.org/programs/vital-document-legal-hotline-for-youth/</t>
        </is>
      </c>
      <c r="N28" s="328" t="n">
        <v>46239</v>
      </c>
      <c r="O28" s="296" t="inlineStr">
        <is>
          <t>Not contacted</t>
        </is>
      </c>
      <c r="P28" s="296" t="str"/>
      <c r="Q28" s="296" t="inlineStr">
        <is>
          <t>Statewide / national</t>
        </is>
      </c>
      <c r="R28" s="296" t="inlineStr">
        <is>
          <t>Statewide / national</t>
        </is>
      </c>
      <c r="S28" s="296" t="inlineStr">
        <is>
          <t>Statewide or national fallback resource accessible from the Charlotte area.</t>
        </is>
      </c>
      <c r="T28" s="219" t="n"/>
      <c r="U28" s="219" t="n"/>
      <c r="V28" s="221" t="n"/>
      <c r="W28" s="52" t="n"/>
      <c r="X28" s="52" t="n"/>
      <c r="Y28" s="52" t="n"/>
      <c r="Z28" s="52" t="n"/>
    </row>
    <row r="29" ht="72" customHeight="1" s="188">
      <c r="A29" s="296" t="n">
        <v>24</v>
      </c>
      <c r="B29" s="296" t="inlineStr">
        <is>
          <t>Foster care; Housing / homelessness; Mental health / recovery; Transportation; Community / belonging</t>
        </is>
      </c>
      <c r="C29" s="296" t="inlineStr">
        <is>
          <t>National Runaway Safeline</t>
        </is>
      </c>
      <c r="D29" s="296" t="inlineStr">
        <is>
          <t>Partial</t>
        </is>
      </c>
      <c r="E29" s="296" t="inlineStr">
        <is>
          <t>Specialized</t>
        </is>
      </c>
      <c r="F29" s="296" t="inlineStr">
        <is>
          <t>A young person is away from home, considering leaving, unsafe, disconnected from family or needs help returning safely.</t>
        </is>
      </c>
      <c r="G29" s="296" t="inlineStr">
        <is>
          <t>Youth and young adults; Home Free transportation generally serves ages 12–21.</t>
        </is>
      </c>
      <c r="H29" s="296" t="inlineStr">
        <is>
          <t>24/7 confidential crisis support, mediated communication, local referrals and eligible transportation home.</t>
        </is>
      </c>
      <c r="I29" s="296" t="inlineStr">
        <is>
          <t>Call 1-800-RUNAWAY, text or use online chat.</t>
        </is>
      </c>
      <c r="J29" s="296" t="inlineStr">
        <is>
          <t>1-800-RUNAWAY</t>
        </is>
      </c>
      <c r="K29" s="296" t="inlineStr">
        <is>
          <t>Nationwide.</t>
        </is>
      </c>
      <c r="L29" s="296" t="inlineStr">
        <is>
          <t>Not a local housing program; transportation and reunification services have specific criteria.</t>
        </is>
      </c>
      <c r="M29" s="296" t="inlineStr">
        <is>
          <t>https://www.1800runaway.org/</t>
        </is>
      </c>
      <c r="N29" s="328" t="n">
        <v>46239</v>
      </c>
      <c r="O29" s="296" t="inlineStr">
        <is>
          <t>Not contacted</t>
        </is>
      </c>
      <c r="P29" s="296" t="str"/>
      <c r="Q29" s="296" t="inlineStr">
        <is>
          <t>Statewide / national</t>
        </is>
      </c>
      <c r="R29" s="296" t="inlineStr">
        <is>
          <t>Statewide / national</t>
        </is>
      </c>
      <c r="S29" s="296" t="inlineStr">
        <is>
          <t>Statewide or national fallback resource accessible from the Charlotte area.</t>
        </is>
      </c>
      <c r="T29" s="219" t="n"/>
      <c r="U29" s="219" t="n"/>
      <c r="V29" s="221" t="n"/>
      <c r="W29" s="52" t="n"/>
      <c r="X29" s="52" t="n"/>
      <c r="Y29" s="52" t="n"/>
      <c r="Z29" s="52" t="n"/>
    </row>
    <row r="30" ht="72" customHeight="1" s="188">
      <c r="A30" s="296" t="n">
        <v>25</v>
      </c>
      <c r="B30" s="296" t="inlineStr">
        <is>
          <t>Housing / homelessness; Food / essentials; Health care; Financial capability; Transportation</t>
        </is>
      </c>
      <c r="C30" s="296" t="inlineStr">
        <is>
          <t>Roof Above — Day Services Center</t>
        </is>
      </c>
      <c r="D30" s="296" t="inlineStr">
        <is>
          <t>No</t>
        </is>
      </c>
      <c r="E30" s="296" t="inlineStr">
        <is>
          <t>Core</t>
        </is>
      </c>
      <c r="F30" s="296" t="inlineStr">
        <is>
          <t>An unstably housed or homeless adult needs meals, showers, laundry, mail, charging, basic medical help or a housing entry point.</t>
        </is>
      </c>
      <c r="G30" s="296" t="inlineStr">
        <is>
          <t>Adults experiencing homelessness or housing instability.</t>
        </is>
      </c>
      <c r="H30" s="296" t="inlineStr">
        <is>
          <t>Lunch, showers, laundry, restrooms, mail, device charging, ID assistance, limited bus passes and connections to shelter/housing.</t>
        </is>
      </c>
      <c r="I30" s="296" t="inlineStr">
        <is>
          <t>Visit the Day Services Center; call Coordinated Entry first for housing/shelter assessment.</t>
        </is>
      </c>
      <c r="J30" s="296" t="inlineStr">
        <is>
          <t>704-347-0278</t>
        </is>
      </c>
      <c r="K30" s="296" t="inlineStr">
        <is>
          <t>945 N. College St., Charlotte, NC 28206.</t>
        </is>
      </c>
      <c r="L30" s="296" t="inlineStr">
        <is>
          <t>Hours and individual services vary; some assistance requires verification or sign-up.</t>
        </is>
      </c>
      <c r="M30" s="296" t="inlineStr">
        <is>
          <t>https://www.roofabove.org/get-help/</t>
        </is>
      </c>
      <c r="N30" s="328" t="n">
        <v>46239</v>
      </c>
      <c r="O30" s="296" t="inlineStr">
        <is>
          <t>Not contacted</t>
        </is>
      </c>
      <c r="P30" s="296" t="str"/>
      <c r="Q30" s="296" t="inlineStr">
        <is>
          <t>Charlotte / Mecklenburg</t>
        </is>
      </c>
      <c r="R30" s="296" t="inlineStr">
        <is>
          <t>Charlotte / Mecklenburg</t>
        </is>
      </c>
      <c r="S30" s="296" t="inlineStr">
        <is>
          <t>Located in or serving the requested roughly 30-mile Charlotte search area.</t>
        </is>
      </c>
      <c r="T30" s="219" t="n"/>
      <c r="U30" s="219" t="n"/>
      <c r="V30" s="221" t="n"/>
      <c r="W30" s="52" t="n"/>
      <c r="X30" s="52" t="n"/>
      <c r="Y30" s="52" t="n"/>
      <c r="Z30" s="52" t="n"/>
    </row>
    <row r="31" ht="72" customHeight="1" s="188">
      <c r="A31" s="296" t="n">
        <v>26</v>
      </c>
      <c r="B31" s="296" t="inlineStr">
        <is>
          <t>Housing / homelessness; Food / essentials; Employment / workforce</t>
        </is>
      </c>
      <c r="C31" s="296" t="inlineStr">
        <is>
          <t>Roof Above — Men's Emergency Shelter</t>
        </is>
      </c>
      <c r="D31" s="296" t="inlineStr">
        <is>
          <t>No</t>
        </is>
      </c>
      <c r="E31" s="296" t="inlineStr">
        <is>
          <t>Core</t>
        </is>
      </c>
      <c r="F31" s="296" t="inlineStr">
        <is>
          <t>An unaccompanied adult who identifies as male needs emergency shelter.</t>
        </is>
      </c>
      <c r="G31" s="296" t="inlineStr">
        <is>
          <t>Age 18+, unaccompanied and identifies as male.</t>
        </is>
      </c>
      <c r="H31" s="296" t="inlineStr">
        <is>
          <t>Year-round shelter beds, meals, showers, laundry, employment and housing-navigation support.</t>
        </is>
      </c>
      <c r="I31" s="296" t="inlineStr">
        <is>
          <t>Complete Coordinated Entry and follow the shelter lottery/enrollment instructions.</t>
        </is>
      </c>
      <c r="J31" s="296" t="inlineStr">
        <is>
          <t>704-334-3187 ext. 0102</t>
        </is>
      </c>
      <c r="K31" s="296" t="inlineStr">
        <is>
          <t>Tryon Shelter, 1210 N. Tryon St.; Howard Levine Men's Shelter, 3406 Statesville Ave.</t>
        </is>
      </c>
      <c r="L31" s="296" t="inlineStr">
        <is>
          <t>Beds are limited and may use a lottery; overnight overflow procedures differ.</t>
        </is>
      </c>
      <c r="M31" s="296" t="inlineStr">
        <is>
          <t>https://www.roofabove.org/emergency-shelter/</t>
        </is>
      </c>
      <c r="N31" s="328" t="n">
        <v>46239</v>
      </c>
      <c r="O31" s="296" t="inlineStr">
        <is>
          <t>Not contacted</t>
        </is>
      </c>
      <c r="P31" s="296" t="str"/>
      <c r="Q31" s="296" t="inlineStr">
        <is>
          <t>Charlotte / Mecklenburg</t>
        </is>
      </c>
      <c r="R31" s="296" t="inlineStr">
        <is>
          <t>Charlotte / Mecklenburg</t>
        </is>
      </c>
      <c r="S31" s="296" t="inlineStr">
        <is>
          <t>Located in or serving the requested roughly 30-mile Charlotte search area.</t>
        </is>
      </c>
      <c r="T31" s="219" t="n"/>
      <c r="U31" s="219" t="n"/>
      <c r="V31" s="221" t="n"/>
      <c r="W31" s="52" t="n"/>
      <c r="X31" s="52" t="n"/>
      <c r="Y31" s="52" t="n"/>
      <c r="Z31" s="52" t="n"/>
    </row>
    <row r="32" ht="72" customHeight="1" s="188">
      <c r="A32" s="296" t="n">
        <v>27</v>
      </c>
      <c r="B32" s="296" t="inlineStr">
        <is>
          <t>Housing / homelessness; Food / essentials; Legal / identity / safety</t>
        </is>
      </c>
      <c r="C32" s="296" t="inlineStr">
        <is>
          <t>The Salvation Army Center of Hope</t>
        </is>
      </c>
      <c r="D32" s="296" t="inlineStr">
        <is>
          <t>No</t>
        </is>
      </c>
      <c r="E32" s="296" t="inlineStr">
        <is>
          <t>Core</t>
        </is>
      </c>
      <c r="F32" s="296" t="inlineStr">
        <is>
          <t>A woman, with or without children, needs emergency shelter.</t>
        </is>
      </c>
      <c r="G32" s="296" t="inlineStr">
        <is>
          <t>Women and children experiencing homelessness; intake and safety criteria apply.</t>
        </is>
      </c>
      <c r="H32" s="296" t="inlineStr">
        <is>
          <t>Emergency shelter, food, basic needs and connections to supportive services.</t>
        </is>
      </c>
      <c r="I32" s="296" t="inlineStr">
        <is>
          <t>Call the Center of Hope intake line or Mecklenburg Coordinated Entry before traveling.</t>
        </is>
      </c>
      <c r="J32" s="296" t="inlineStr">
        <is>
          <t>704-348-2560</t>
        </is>
      </c>
      <c r="K32" s="296" t="inlineStr">
        <is>
          <t>534 Spratt St., Charlotte, NC 28206.</t>
        </is>
      </c>
      <c r="L32" s="296" t="inlineStr">
        <is>
          <t>Bed availability and intake requirements change; call before arrival.</t>
        </is>
      </c>
      <c r="M32" s="296" t="inlineStr">
        <is>
          <t>https://salvationarmycharlotte.org/greater-charlotte/shelter-1/</t>
        </is>
      </c>
      <c r="N32" s="328" t="n">
        <v>46239</v>
      </c>
      <c r="O32" s="296" t="inlineStr">
        <is>
          <t>Not contacted</t>
        </is>
      </c>
      <c r="P32" s="296" t="inlineStr">
        <is>
          <t>Reviewed against Charlotte Young Adult Resource Database and current official provider information.</t>
        </is>
      </c>
      <c r="Q32" s="296" t="inlineStr">
        <is>
          <t>Charlotte / Mecklenburg</t>
        </is>
      </c>
      <c r="R32" s="296" t="inlineStr">
        <is>
          <t>Charlotte / Mecklenburg</t>
        </is>
      </c>
      <c r="S32" s="296" t="inlineStr">
        <is>
          <t>Located in or serving the requested roughly 30-mile Charlotte search area.</t>
        </is>
      </c>
      <c r="T32" s="219" t="n"/>
      <c r="U32" s="219" t="n"/>
      <c r="V32" s="221" t="n"/>
      <c r="W32" s="52" t="n"/>
      <c r="X32" s="52" t="n"/>
      <c r="Y32" s="52" t="n"/>
      <c r="Z32" s="52" t="n"/>
    </row>
    <row r="33" ht="72" customHeight="1" s="188">
      <c r="A33" s="296" t="n">
        <v>28</v>
      </c>
      <c r="B33" s="296" t="inlineStr">
        <is>
          <t>Housing / homelessness; Mental health / recovery; Soft skills / life skills; Financial capability</t>
        </is>
      </c>
      <c r="C33" s="296" t="inlineStr">
        <is>
          <t>Crisis Assistance Ministry — Emergency Financial Assistance</t>
        </is>
      </c>
      <c r="D33" s="296" t="inlineStr">
        <is>
          <t>No</t>
        </is>
      </c>
      <c r="E33" s="296" t="inlineStr">
        <is>
          <t>Core</t>
        </is>
      </c>
      <c r="F33" s="296" t="inlineStr">
        <is>
          <t>A Mecklenburg household is behind on rent or utilities or faces a short-term financial crisis.</t>
        </is>
      </c>
      <c r="G33" s="296" t="inlineStr">
        <is>
          <t>Mecklenburg County residents who meet documentation and program requirements.</t>
        </is>
      </c>
      <c r="H33" s="296" t="inlineStr">
        <is>
          <t>Emergency rent and utility assistance plus financial coaching.</t>
        </is>
      </c>
      <c r="I33" s="296" t="inlineStr">
        <is>
          <t>Review required documents and apply through the Get Help process.</t>
        </is>
      </c>
      <c r="J33" s="296" t="inlineStr">
        <is>
          <t>704-371-3001</t>
        </is>
      </c>
      <c r="K33" s="296" t="inlineStr">
        <is>
          <t>500-A Spratt St., Charlotte, NC 28206.</t>
        </is>
      </c>
      <c r="L33" s="296" t="inlineStr">
        <is>
          <t>Funding is limited and changes frequently; assistance is not guaranteed and may not cover all arrears.</t>
        </is>
      </c>
      <c r="M33" s="296" t="inlineStr">
        <is>
          <t>https://crisisassistance.org/programs/get-help/</t>
        </is>
      </c>
      <c r="N33" s="328" t="n">
        <v>46239</v>
      </c>
      <c r="O33" s="296" t="inlineStr">
        <is>
          <t>Not contacted</t>
        </is>
      </c>
      <c r="P33" s="296" t="str"/>
      <c r="Q33" s="296" t="inlineStr">
        <is>
          <t>Charlotte / Mecklenburg</t>
        </is>
      </c>
      <c r="R33" s="296" t="inlineStr">
        <is>
          <t>Charlotte / Mecklenburg</t>
        </is>
      </c>
      <c r="S33" s="296" t="inlineStr">
        <is>
          <t>Located in or serving the requested roughly 30-mile Charlotte search area.</t>
        </is>
      </c>
      <c r="T33" s="219" t="n"/>
      <c r="U33" s="219" t="n"/>
      <c r="V33" s="221" t="n"/>
      <c r="W33" s="52" t="n"/>
      <c r="X33" s="52" t="n"/>
      <c r="Y33" s="52" t="n"/>
      <c r="Z33" s="52" t="n"/>
    </row>
    <row r="34" ht="72" customHeight="1" s="188">
      <c r="A34" s="296" t="n">
        <v>29</v>
      </c>
      <c r="B34" s="296" t="inlineStr">
        <is>
          <t>Food / essentials; Housing / homelessness; Mental health / recovery; Financial capability</t>
        </is>
      </c>
      <c r="C34" s="296" t="inlineStr">
        <is>
          <t>Crisis Assistance Ministry — Free Store</t>
        </is>
      </c>
      <c r="D34" s="296" t="inlineStr">
        <is>
          <t>No</t>
        </is>
      </c>
      <c r="E34" s="296" t="inlineStr">
        <is>
          <t>Core</t>
        </is>
      </c>
      <c r="F34" s="296" t="inlineStr">
        <is>
          <t>A young adult needs clothing, shoes, linens or essential household goods at no cost.</t>
        </is>
      </c>
      <c r="G34" s="296" t="inlineStr">
        <is>
          <t>People meeting the Free Store's current service requirements.</t>
        </is>
      </c>
      <c r="H34" s="296" t="inlineStr">
        <is>
          <t>Free donated clothing, shoes and household items.</t>
        </is>
      </c>
      <c r="I34" s="296" t="inlineStr">
        <is>
          <t>Walk in during current Free Store shopping hours or review the official Get Help page before traveling.</t>
        </is>
      </c>
      <c r="J34" s="296" t="inlineStr">
        <is>
          <t>704-371-3001</t>
        </is>
      </c>
      <c r="K34" s="296" t="inlineStr">
        <is>
          <t>500-A Spratt St., Charlotte, NC 28206.</t>
        </is>
      </c>
      <c r="L34" s="296" t="inlineStr">
        <is>
          <t>Inventory varies. Current published shopping hours are Tuesday–Saturday, 10 a.m.–4 p.m., excluding closures.</t>
        </is>
      </c>
      <c r="M34" s="296" t="inlineStr">
        <is>
          <t>https://crisisassistance.org/programs/get-help/</t>
        </is>
      </c>
      <c r="N34" s="328" t="n">
        <v>46239</v>
      </c>
      <c r="O34" s="296" t="inlineStr">
        <is>
          <t>Not contacted</t>
        </is>
      </c>
      <c r="P34" s="296" t="inlineStr">
        <is>
          <t>Reviewed against Charlotte Young Adult Resource Database and current official provider information.</t>
        </is>
      </c>
      <c r="Q34" s="296" t="inlineStr">
        <is>
          <t>Charlotte / Mecklenburg</t>
        </is>
      </c>
      <c r="R34" s="296" t="inlineStr">
        <is>
          <t>Charlotte / Mecklenburg</t>
        </is>
      </c>
      <c r="S34" s="296" t="inlineStr">
        <is>
          <t>Located in or serving the requested roughly 30-mile Charlotte search area.</t>
        </is>
      </c>
      <c r="T34" s="219" t="n"/>
      <c r="U34" s="219" t="n"/>
      <c r="V34" s="221" t="n"/>
      <c r="W34" s="52" t="n"/>
      <c r="X34" s="52" t="n"/>
      <c r="Y34" s="52" t="n"/>
      <c r="Z34" s="52" t="n"/>
    </row>
    <row r="35" ht="72" customHeight="1" s="188">
      <c r="A35" s="296" t="n">
        <v>30</v>
      </c>
      <c r="B35" s="296" t="inlineStr">
        <is>
          <t>Housing / homelessness; Financial capability</t>
        </is>
      </c>
      <c r="C35" s="296" t="inlineStr">
        <is>
          <t>INLIVIAN — Housing Choice Voucher and Public Housing</t>
        </is>
      </c>
      <c r="D35" s="296" t="inlineStr">
        <is>
          <t>No</t>
        </is>
      </c>
      <c r="E35" s="296" t="inlineStr">
        <is>
          <t>Core</t>
        </is>
      </c>
      <c r="F35" s="296" t="inlineStr">
        <is>
          <t>A very-low-income young adult needs long-term subsidized housing.</t>
        </is>
      </c>
      <c r="G35" s="296" t="inlineStr">
        <is>
          <t>Income, household and program rules apply; waitlist selection is required.</t>
        </is>
      </c>
      <c r="H35" s="296" t="inlineStr">
        <is>
          <t>Public housing and Housing Choice Voucher rental assistance.</t>
        </is>
      </c>
      <c r="I35" s="296" t="inlineStr">
        <is>
          <t>Check the current waitlist status and apply only through official INLIVIAN channels.</t>
        </is>
      </c>
      <c r="J35" s="296" t="str"/>
      <c r="K35" s="296" t="inlineStr">
        <is>
          <t>Charlotte / Mecklenburg County.</t>
        </is>
      </c>
      <c r="L35" s="296" t="inlineStr">
        <is>
          <t>Waitlists are often closed or open only for limited periods; never pay a third party to apply.</t>
        </is>
      </c>
      <c r="M35" s="296" t="inlineStr">
        <is>
          <t>https://www.inlivian.com/housing-choice-voucher/</t>
        </is>
      </c>
      <c r="N35" s="328" t="n">
        <v>46239</v>
      </c>
      <c r="O35" s="296" t="inlineStr">
        <is>
          <t>Not contacted</t>
        </is>
      </c>
      <c r="P35" s="296" t="str"/>
      <c r="Q35" s="296" t="inlineStr">
        <is>
          <t>Charlotte / Mecklenburg</t>
        </is>
      </c>
      <c r="R35" s="296" t="inlineStr">
        <is>
          <t>Charlotte / Mecklenburg</t>
        </is>
      </c>
      <c r="S35" s="296" t="inlineStr">
        <is>
          <t>Located in or serving the requested roughly 30-mile Charlotte search area.</t>
        </is>
      </c>
      <c r="T35" s="219" t="n"/>
      <c r="U35" s="219" t="n"/>
      <c r="V35" s="221" t="n"/>
      <c r="W35" s="52" t="n"/>
      <c r="X35" s="52" t="n"/>
      <c r="Y35" s="52" t="n"/>
      <c r="Z35" s="52" t="n"/>
    </row>
    <row r="36" ht="72" customHeight="1" s="188">
      <c r="A36" s="296" t="n">
        <v>31</v>
      </c>
      <c r="B36" s="296" t="inlineStr">
        <is>
          <t>Housing / homelessness; Employment / workforce; Soft skills / life skills; Financial capability; Transportation</t>
        </is>
      </c>
      <c r="C36" s="296" t="inlineStr">
        <is>
          <t>Charlotte Family Housing</t>
        </is>
      </c>
      <c r="D36" s="296" t="inlineStr">
        <is>
          <t>No</t>
        </is>
      </c>
      <c r="E36" s="296" t="inlineStr">
        <is>
          <t>Specialized</t>
        </is>
      </c>
      <c r="F36" s="296" t="inlineStr">
        <is>
          <t>A family with a minor child is homeless or unstably housed and needs temporary housing plus intensive support.</t>
        </is>
      </c>
      <c r="G36" s="296" t="inlineStr">
        <is>
          <t>Families with at least one minor child; program screening applies.</t>
        </is>
      </c>
      <c r="H36" s="296" t="inlineStr">
        <is>
          <t>Temporary housing, case management, employment/financial support and transition to permanent housing.</t>
        </is>
      </c>
      <c r="I36" s="296" t="inlineStr">
        <is>
          <t>Contact the organization and complete its intake/referral process.</t>
        </is>
      </c>
      <c r="J36" s="296" t="str"/>
      <c r="K36" s="296" t="inlineStr">
        <is>
          <t>Charlotte / Mecklenburg County.</t>
        </is>
      </c>
      <c r="L36" s="296" t="inlineStr">
        <is>
          <t>Not for unaccompanied adults without children; capacity is limited.</t>
        </is>
      </c>
      <c r="M36" s="296" t="inlineStr">
        <is>
          <t>https://www.charlottefamilyhousing.org/</t>
        </is>
      </c>
      <c r="N36" s="328" t="n">
        <v>46239</v>
      </c>
      <c r="O36" s="296" t="inlineStr">
        <is>
          <t>Not contacted</t>
        </is>
      </c>
      <c r="P36" s="296" t="str"/>
      <c r="Q36" s="296" t="inlineStr">
        <is>
          <t>Charlotte / Mecklenburg</t>
        </is>
      </c>
      <c r="R36" s="296" t="inlineStr">
        <is>
          <t>Charlotte / Mecklenburg</t>
        </is>
      </c>
      <c r="S36" s="296" t="inlineStr">
        <is>
          <t>Located in or serving the requested roughly 30-mile Charlotte search area.</t>
        </is>
      </c>
      <c r="T36" s="219" t="n"/>
      <c r="U36" s="219" t="n"/>
      <c r="V36" s="221" t="n"/>
      <c r="W36" s="52" t="n"/>
      <c r="X36" s="52" t="n"/>
      <c r="Y36" s="52" t="n"/>
      <c r="Z36" s="52" t="n"/>
    </row>
    <row r="37" ht="72" customHeight="1" s="188">
      <c r="A37" s="296" t="n">
        <v>32</v>
      </c>
      <c r="B37" s="296" t="inlineStr">
        <is>
          <t>Housing / homelessness; Soft skills / life skills; Transportation</t>
        </is>
      </c>
      <c r="C37" s="296" t="inlineStr">
        <is>
          <t>YWCA Central Carolinas — Transitional Housing</t>
        </is>
      </c>
      <c r="D37" s="296" t="inlineStr">
        <is>
          <t>No</t>
        </is>
      </c>
      <c r="E37" s="296" t="inlineStr">
        <is>
          <t>Specialized</t>
        </is>
      </c>
      <c r="F37" s="296" t="inlineStr">
        <is>
          <t>A single woman or a family with children needs transitional housing and case management.</t>
        </is>
      </c>
      <c r="G37" s="296" t="inlineStr">
        <is>
          <t>Women in Transition serves single women; Families Together serves families with minor children; screening applies.</t>
        </is>
      </c>
      <c r="H37" s="296" t="inlineStr">
        <is>
          <t>Furnished transitional housing, case management and stability planning.</t>
        </is>
      </c>
      <c r="I37" s="296" t="inlineStr">
        <is>
          <t>Review the relevant housing program and request intake.</t>
        </is>
      </c>
      <c r="J37" s="296" t="str"/>
      <c r="K37" s="296" t="inlineStr">
        <is>
          <t>Charlotte / Mecklenburg County.</t>
        </is>
      </c>
      <c r="L37" s="296" t="inlineStr">
        <is>
          <t>Program fit and openings vary; this is not same-day emergency shelter.</t>
        </is>
      </c>
      <c r="M37" s="296" t="inlineStr">
        <is>
          <t>https://ywcacentralcarolinas.org/</t>
        </is>
      </c>
      <c r="N37" s="328" t="n">
        <v>46239</v>
      </c>
      <c r="O37" s="296" t="inlineStr">
        <is>
          <t>Not contacted</t>
        </is>
      </c>
      <c r="P37" s="296" t="str"/>
      <c r="Q37" s="296" t="inlineStr">
        <is>
          <t>Charlotte / Mecklenburg</t>
        </is>
      </c>
      <c r="R37" s="296" t="inlineStr">
        <is>
          <t>Charlotte / Mecklenburg</t>
        </is>
      </c>
      <c r="S37" s="296" t="inlineStr">
        <is>
          <t>Located in or serving the requested roughly 30-mile Charlotte search area.</t>
        </is>
      </c>
      <c r="T37" s="219" t="n"/>
      <c r="U37" s="219" t="n"/>
      <c r="V37" s="221" t="n"/>
      <c r="W37" s="52" t="n"/>
      <c r="X37" s="52" t="n"/>
      <c r="Y37" s="52" t="n"/>
      <c r="Z37" s="52" t="n"/>
    </row>
    <row r="38" ht="72" customHeight="1" s="188">
      <c r="A38" s="296" t="n">
        <v>33</v>
      </c>
      <c r="B38" s="296" t="inlineStr">
        <is>
          <t>Housing / homelessness; Food / essentials; Employment / workforce; Education; Financial capability</t>
        </is>
      </c>
      <c r="C38" s="296" t="inlineStr">
        <is>
          <t>Time Out Youth — Housing &amp; Supportive Services</t>
        </is>
      </c>
      <c r="D38" s="296" t="inlineStr">
        <is>
          <t>No</t>
        </is>
      </c>
      <c r="E38" s="296" t="inlineStr">
        <is>
          <t>Specialized</t>
        </is>
      </c>
      <c r="F38" s="296" t="inlineStr">
        <is>
          <t>An LGBTQ+ young adult needs affirming housing navigation, case management or basic needs.</t>
        </is>
      </c>
      <c r="G38" s="296" t="inlineStr">
        <is>
          <t>LGBTQ+ young adults, generally ages 18–24 for housing services; specific service ages vary.</t>
        </is>
      </c>
      <c r="H38" s="296" t="inlineStr">
        <is>
          <t>Housing case management, document/benefit help, food, showers, laundry, clothing, education and employment support.</t>
        </is>
      </c>
      <c r="I38" s="296" t="inlineStr">
        <is>
          <t>Contact Time Out Youth and request housing/supportive-services intake.</t>
        </is>
      </c>
      <c r="J38" s="296" t="str"/>
      <c r="K38" s="296" t="inlineStr">
        <is>
          <t>Charlotte / regional service area.</t>
        </is>
      </c>
      <c r="L38" s="296" t="inlineStr">
        <is>
          <t>Housing resources are limited and eligibility differs by program.</t>
        </is>
      </c>
      <c r="M38" s="296" t="inlineStr">
        <is>
          <t>https://timeoutyouth.org/housing-supportive-services/</t>
        </is>
      </c>
      <c r="N38" s="328" t="n">
        <v>46239</v>
      </c>
      <c r="O38" s="296" t="inlineStr">
        <is>
          <t>Not contacted</t>
        </is>
      </c>
      <c r="P38" s="296" t="str"/>
      <c r="Q38" s="296" t="inlineStr">
        <is>
          <t>Charlotte / Mecklenburg</t>
        </is>
      </c>
      <c r="R38" s="296" t="inlineStr">
        <is>
          <t>Charlotte / Mecklenburg</t>
        </is>
      </c>
      <c r="S38" s="296" t="inlineStr">
        <is>
          <t>Located in or serving the requested roughly 30-mile Charlotte search area.</t>
        </is>
      </c>
      <c r="T38" s="219" t="n"/>
      <c r="U38" s="219" t="n"/>
      <c r="V38" s="221" t="n"/>
      <c r="W38" s="52" t="n"/>
      <c r="X38" s="52" t="n"/>
      <c r="Y38" s="52" t="n"/>
      <c r="Z38" s="52" t="n"/>
    </row>
    <row r="39" ht="72" customHeight="1" s="188">
      <c r="A39" s="296" t="n">
        <v>34</v>
      </c>
      <c r="B39" s="296" t="inlineStr">
        <is>
          <t>Housing / homelessness; Health care; Mental health / recovery; Legal / identity / safety</t>
        </is>
      </c>
      <c r="C39" s="296" t="inlineStr">
        <is>
          <t>Safe Alliance — Domestic Violence Shelter</t>
        </is>
      </c>
      <c r="D39" s="296" t="inlineStr">
        <is>
          <t>No</t>
        </is>
      </c>
      <c r="E39" s="296" t="inlineStr">
        <is>
          <t>Core</t>
        </is>
      </c>
      <c r="F39" s="296" t="inlineStr">
        <is>
          <t>A young adult is fleeing intimate-partner violence or needs a confidential safety plan and shelter.</t>
        </is>
      </c>
      <c r="G39" s="296" t="inlineStr">
        <is>
          <t>Survivors of domestic violence; adults and children; safety screening applies.</t>
        </is>
      </c>
      <c r="H39" s="296" t="inlineStr">
        <is>
          <t>24/7 hotline, emergency shelter, safety planning, counseling and victim support.</t>
        </is>
      </c>
      <c r="I39" s="296" t="inlineStr">
        <is>
          <t>Call the Greater Charlotte Hope Line.</t>
        </is>
      </c>
      <c r="J39" s="296" t="inlineStr">
        <is>
          <t>980-771-4673</t>
        </is>
      </c>
      <c r="K39" s="296" t="inlineStr">
        <is>
          <t>Charlotte / Mecklenburg County; shelter location is confidential.</t>
        </is>
      </c>
      <c r="L39" s="296" t="inlineStr">
        <is>
          <t>Use 911 for immediate danger. Shelter placement depends on safety and capacity.</t>
        </is>
      </c>
      <c r="M39" s="296" t="inlineStr">
        <is>
          <t>https://www.safealliance.org/programs/domestic-violence-shelter/</t>
        </is>
      </c>
      <c r="N39" s="328" t="n">
        <v>46239</v>
      </c>
      <c r="O39" s="296" t="inlineStr">
        <is>
          <t>Not contacted</t>
        </is>
      </c>
      <c r="P39" s="296" t="str"/>
      <c r="Q39" s="296" t="inlineStr">
        <is>
          <t>Charlotte / Mecklenburg</t>
        </is>
      </c>
      <c r="R39" s="296" t="inlineStr">
        <is>
          <t>Charlotte / Mecklenburg</t>
        </is>
      </c>
      <c r="S39" s="296" t="inlineStr">
        <is>
          <t>Located in or serving the requested roughly 30-mile Charlotte search area.</t>
        </is>
      </c>
      <c r="T39" s="219" t="n"/>
      <c r="U39" s="219" t="n"/>
      <c r="V39" s="221" t="n"/>
      <c r="W39" s="52" t="n"/>
      <c r="X39" s="52" t="n"/>
      <c r="Y39" s="52" t="n"/>
      <c r="Z39" s="52" t="n"/>
    </row>
    <row r="40" ht="72" customHeight="1" s="188">
      <c r="A40" s="296" t="n">
        <v>35</v>
      </c>
      <c r="B40" s="296" t="inlineStr">
        <is>
          <t>Housing / homelessness; Financial capability; Transportation</t>
        </is>
      </c>
      <c r="C40" s="296" t="inlineStr">
        <is>
          <t>Gracious Hands Transitional Housing</t>
        </is>
      </c>
      <c r="D40" s="296" t="inlineStr">
        <is>
          <t>No</t>
        </is>
      </c>
      <c r="E40" s="296" t="inlineStr">
        <is>
          <t>Specialized</t>
        </is>
      </c>
      <c r="F40" s="296" t="inlineStr">
        <is>
          <t>A woman experiencing or nearing homelessness needs transitional housing and life-skills support.</t>
        </is>
      </c>
      <c r="G40" s="296" t="inlineStr">
        <is>
          <t>Women meeting program intake criteria; confirm whether children can be accommodated.</t>
        </is>
      </c>
      <c r="H40" s="296" t="inlineStr">
        <is>
          <t>Transitional housing, case management and life-skills support.</t>
        </is>
      </c>
      <c r="I40" s="296" t="inlineStr">
        <is>
          <t>Contact the organization for a current eligibility and vacancy screening.</t>
        </is>
      </c>
      <c r="J40" s="296" t="str"/>
      <c r="K40" s="296" t="inlineStr">
        <is>
          <t>Charlotte area.</t>
        </is>
      </c>
      <c r="L40" s="296" t="inlineStr">
        <is>
          <t>Program size and openings are limited; verify current admission criteria directly.</t>
        </is>
      </c>
      <c r="M40" s="296" t="inlineStr">
        <is>
          <t>https://www.gracioushandshousing.org/</t>
        </is>
      </c>
      <c r="N40" s="328" t="n">
        <v>46239</v>
      </c>
      <c r="O40" s="296" t="inlineStr">
        <is>
          <t>Not contacted</t>
        </is>
      </c>
      <c r="P40" s="296" t="str"/>
      <c r="Q40" s="296" t="inlineStr">
        <is>
          <t>Charlotte / Mecklenburg</t>
        </is>
      </c>
      <c r="R40" s="296" t="inlineStr">
        <is>
          <t>Charlotte / Mecklenburg</t>
        </is>
      </c>
      <c r="S40" s="296" t="inlineStr">
        <is>
          <t>Located in or serving the requested roughly 30-mile Charlotte search area.</t>
        </is>
      </c>
      <c r="T40" s="219" t="n"/>
      <c r="U40" s="219" t="n"/>
      <c r="V40" s="221" t="n"/>
      <c r="W40" s="52" t="n"/>
      <c r="X40" s="52" t="n"/>
      <c r="Y40" s="52" t="n"/>
      <c r="Z40" s="52" t="n"/>
    </row>
    <row r="41" ht="72" customHeight="1" s="188">
      <c r="A41" s="296" t="n">
        <v>36</v>
      </c>
      <c r="B41" s="296" t="inlineStr">
        <is>
          <t>Housing / homelessness; Health care; Education; Soft skills / life skills; Legal / identity / safety; Parenting / family; Community / belonging</t>
        </is>
      </c>
      <c r="C41" s="296" t="inlineStr">
        <is>
          <t>Crittenton of North Carolina</t>
        </is>
      </c>
      <c r="D41" s="296" t="inlineStr">
        <is>
          <t>No</t>
        </is>
      </c>
      <c r="E41" s="296" t="inlineStr">
        <is>
          <t>Specialized</t>
        </is>
      </c>
      <c r="F41" s="296" t="inlineStr">
        <is>
          <t>A pregnant or parenting young woman needs residential support, safety, education or family-stability services.</t>
        </is>
      </c>
      <c r="G41" s="296" t="inlineStr">
        <is>
          <t>Women and families meeting the criteria for a specific Crittenton program.</t>
        </is>
      </c>
      <c r="H41" s="296" t="inlineStr">
        <is>
          <t>Residential and community programs supporting health, parenting, education and self-sufficiency.</t>
        </is>
      </c>
      <c r="I41" s="296" t="inlineStr">
        <is>
          <t>Call and request screening for the appropriate program.</t>
        </is>
      </c>
      <c r="J41" s="296" t="inlineStr">
        <is>
          <t>704-372-4663</t>
        </is>
      </c>
      <c r="K41" s="296" t="inlineStr">
        <is>
          <t>3350 Holabird Ln., Charlotte, NC 28208.</t>
        </is>
      </c>
      <c r="L41" s="296" t="inlineStr">
        <is>
          <t>Programs have distinct eligibility; not all services are available to every applicant.</t>
        </is>
      </c>
      <c r="M41" s="296" t="inlineStr">
        <is>
          <t>https://www.crittentonofnc.org/</t>
        </is>
      </c>
      <c r="N41" s="328" t="n">
        <v>46239</v>
      </c>
      <c r="O41" s="296" t="inlineStr">
        <is>
          <t>Not contacted</t>
        </is>
      </c>
      <c r="P41" s="296" t="str"/>
      <c r="Q41" s="296" t="inlineStr">
        <is>
          <t>Charlotte / Mecklenburg</t>
        </is>
      </c>
      <c r="R41" s="296" t="inlineStr">
        <is>
          <t>Charlotte / Mecklenburg</t>
        </is>
      </c>
      <c r="S41" s="296" t="inlineStr">
        <is>
          <t>Located in or serving the requested roughly 30-mile Charlotte search area.</t>
        </is>
      </c>
      <c r="T41" s="219" t="n"/>
      <c r="U41" s="219" t="n"/>
      <c r="V41" s="221" t="n"/>
      <c r="W41" s="52" t="n"/>
      <c r="X41" s="52" t="n"/>
      <c r="Y41" s="52" t="n"/>
      <c r="Z41" s="52" t="n"/>
    </row>
    <row r="42" ht="72" customHeight="1" s="188">
      <c r="A42" s="296" t="n">
        <v>37</v>
      </c>
      <c r="B42" s="296" t="inlineStr">
        <is>
          <t>Housing / homelessness; Food / essentials; Education; Soft skills / life skills; Parenting / family; Community / belonging</t>
        </is>
      </c>
      <c r="C42" s="296" t="inlineStr">
        <is>
          <t>MiraVia College Residence</t>
        </is>
      </c>
      <c r="D42" s="296" t="inlineStr">
        <is>
          <t>No</t>
        </is>
      </c>
      <c r="E42" s="296" t="inlineStr">
        <is>
          <t>Specialized</t>
        </is>
      </c>
      <c r="F42" s="296" t="inlineStr">
        <is>
          <t>A pregnant college student or new mother needs free residential support while continuing school.</t>
        </is>
      </c>
      <c r="G42" s="296" t="inlineStr">
        <is>
          <t>Generally age 18+, pregnant or parenting a newborn, enrolled in college and meeting program screening requirements.</t>
        </is>
      </c>
      <c r="H42" s="296" t="inlineStr">
        <is>
          <t>Free residential community, meals/support and help continuing postsecondary education.</t>
        </is>
      </c>
      <c r="I42" s="296" t="inlineStr">
        <is>
          <t>Review eligibility and contact MiraVia for an application.</t>
        </is>
      </c>
      <c r="J42" s="296" t="str"/>
      <c r="K42" s="296" t="inlineStr">
        <is>
          <t>Belmont / greater Charlotte area.</t>
        </is>
      </c>
      <c r="L42" s="296" t="inlineStr">
        <is>
          <t>Narrow eligibility and limited residential capacity.</t>
        </is>
      </c>
      <c r="M42" s="296" t="inlineStr">
        <is>
          <t>https://miravia.org/</t>
        </is>
      </c>
      <c r="N42" s="328" t="n">
        <v>46239</v>
      </c>
      <c r="O42" s="296" t="inlineStr">
        <is>
          <t>Not contacted</t>
        </is>
      </c>
      <c r="P42" s="296" t="str"/>
      <c r="Q42" s="296" t="inlineStr">
        <is>
          <t>Belmont / Gaston</t>
        </is>
      </c>
      <c r="R42" s="296" t="inlineStr">
        <is>
          <t>Surrounding communities</t>
        </is>
      </c>
      <c r="S42" s="296" t="inlineStr">
        <is>
          <t>Located in or serving the requested roughly 30-mile Charlotte search area.</t>
        </is>
      </c>
      <c r="T42" s="219" t="n"/>
      <c r="U42" s="219" t="n"/>
      <c r="V42" s="221" t="n"/>
      <c r="W42" s="52" t="n"/>
      <c r="X42" s="52" t="n"/>
      <c r="Y42" s="52" t="n"/>
      <c r="Z42" s="52" t="n"/>
    </row>
    <row r="43" ht="72" customHeight="1" s="188">
      <c r="A43" s="296" t="n">
        <v>38</v>
      </c>
      <c r="B43" s="296" t="inlineStr">
        <is>
          <t>Housing / homelessness; Mental health / recovery; Education; Soft skills / life skills; Financial capability; Community / belonging</t>
        </is>
      </c>
      <c r="C43" s="296" t="inlineStr">
        <is>
          <t>Community Link</t>
        </is>
      </c>
      <c r="D43" s="296" t="inlineStr">
        <is>
          <t>No</t>
        </is>
      </c>
      <c r="E43" s="296" t="inlineStr">
        <is>
          <t>Backup</t>
        </is>
      </c>
      <c r="F43" s="296" t="inlineStr">
        <is>
          <t>A low- or moderate-income worker needs help obtaining or keeping safe, affordable housing or improving financial readiness.</t>
        </is>
      </c>
      <c r="G43" s="296" t="inlineStr">
        <is>
          <t>Program-specific income and housing criteria apply.</t>
        </is>
      </c>
      <c r="H43" s="296" t="inlineStr">
        <is>
          <t>Housing counseling, financial literacy, homelessness services, homeownership education and referrals.</t>
        </is>
      </c>
      <c r="I43" s="296" t="inlineStr">
        <is>
          <t>Contact Community Link and request the appropriate counseling or housing service.</t>
        </is>
      </c>
      <c r="J43" s="296" t="inlineStr">
        <is>
          <t>704-943-9490</t>
        </is>
      </c>
      <c r="K43" s="296" t="inlineStr">
        <is>
          <t>601 E. 5th St., Suite 460, Charlotte, NC 28202.</t>
        </is>
      </c>
      <c r="L43" s="296" t="inlineStr">
        <is>
          <t>Some programs focus on working households or homeownership rather than immediate shelter.</t>
        </is>
      </c>
      <c r="M43" s="296" t="inlineStr">
        <is>
          <t>https://www.communitylinknc.org/who</t>
        </is>
      </c>
      <c r="N43" s="328" t="n">
        <v>46239</v>
      </c>
      <c r="O43" s="296" t="inlineStr">
        <is>
          <t>Not contacted</t>
        </is>
      </c>
      <c r="P43" s="296" t="str"/>
      <c r="Q43" s="296" t="inlineStr">
        <is>
          <t>Charlotte / Mecklenburg</t>
        </is>
      </c>
      <c r="R43" s="296" t="inlineStr">
        <is>
          <t>Charlotte / Mecklenburg</t>
        </is>
      </c>
      <c r="S43" s="296" t="inlineStr">
        <is>
          <t>Located in or serving the requested roughly 30-mile Charlotte search area.</t>
        </is>
      </c>
      <c r="T43" s="219" t="n"/>
      <c r="U43" s="219" t="n"/>
      <c r="V43" s="221" t="n"/>
      <c r="W43" s="52" t="n"/>
      <c r="X43" s="52" t="n"/>
      <c r="Y43" s="52" t="n"/>
      <c r="Z43" s="52" t="n"/>
    </row>
    <row r="44" ht="72" customHeight="1" s="188">
      <c r="A44" s="296" t="n">
        <v>39</v>
      </c>
      <c r="B44" s="296" t="inlineStr">
        <is>
          <t>Housing / homelessness; Financial capability</t>
        </is>
      </c>
      <c r="C44" s="296" t="inlineStr">
        <is>
          <t>Roof Above — Rapid Rehousing &amp; Permanent Supportive Housing</t>
        </is>
      </c>
      <c r="D44" s="296" t="inlineStr">
        <is>
          <t>No</t>
        </is>
      </c>
      <c r="E44" s="296" t="inlineStr">
        <is>
          <t>Core</t>
        </is>
      </c>
      <c r="F44" s="296" t="inlineStr">
        <is>
          <t>A person experiencing homelessness needs rental subsidy, housing navigation or long-term supportive housing.</t>
        </is>
      </c>
      <c r="G44" s="296" t="inlineStr">
        <is>
          <t>Rapid rehousing and supportive-housing programs have different federal homelessness and vulnerability criteria.</t>
        </is>
      </c>
      <c r="H44" s="296" t="inlineStr">
        <is>
          <t>Housing identification, move-in/rent assistance, case management and permanent supportive housing.</t>
        </is>
      </c>
      <c r="I44" s="296" t="inlineStr">
        <is>
          <t>Enter through Mecklenburg Coordinated Entry.</t>
        </is>
      </c>
      <c r="J44" s="296" t="inlineStr">
        <is>
          <t>704-284-9665</t>
        </is>
      </c>
      <c r="K44" s="296" t="inlineStr">
        <is>
          <t>Mecklenburg County.</t>
        </is>
      </c>
      <c r="L44" s="296" t="inlineStr">
        <is>
          <t>A referral from Coordinated Entry is required; long waits and documentation requirements are common.</t>
        </is>
      </c>
      <c r="M44" s="296" t="inlineStr">
        <is>
          <t>https://www.roofabove.org/short-term-and-transitional-housing/</t>
        </is>
      </c>
      <c r="N44" s="328" t="n">
        <v>46239</v>
      </c>
      <c r="O44" s="296" t="inlineStr">
        <is>
          <t>Not contacted</t>
        </is>
      </c>
      <c r="P44" s="296" t="str"/>
      <c r="Q44" s="296" t="inlineStr">
        <is>
          <t>Charlotte / Mecklenburg</t>
        </is>
      </c>
      <c r="R44" s="296" t="inlineStr">
        <is>
          <t>Charlotte / Mecklenburg</t>
        </is>
      </c>
      <c r="S44" s="296" t="inlineStr">
        <is>
          <t>Located in or serving the requested roughly 30-mile Charlotte search area.</t>
        </is>
      </c>
      <c r="T44" s="219" t="n"/>
      <c r="U44" s="219" t="n"/>
      <c r="V44" s="221" t="n"/>
      <c r="W44" s="52" t="n"/>
      <c r="X44" s="52" t="n"/>
      <c r="Y44" s="52" t="n"/>
      <c r="Z44" s="52" t="n"/>
    </row>
    <row r="45" ht="72" customHeight="1" s="188">
      <c r="A45" s="296" t="n">
        <v>40</v>
      </c>
      <c r="B45" s="296" t="inlineStr">
        <is>
          <t>Housing / homelessness; Soft skills / life skills; Financial capability</t>
        </is>
      </c>
      <c r="C45" s="296" t="inlineStr">
        <is>
          <t>Mecklenburg Targeted Housing Assistance Program (THAP-IN)</t>
        </is>
      </c>
      <c r="D45" s="296" t="inlineStr">
        <is>
          <t>No</t>
        </is>
      </c>
      <c r="E45" s="296" t="inlineStr">
        <is>
          <t>Verify</t>
        </is>
      </c>
      <c r="F45" s="296" t="inlineStr">
        <is>
          <t>A young adult ages 18–24 is at imminent risk of homelessness and flexible cash support could prevent housing loss.</t>
        </is>
      </c>
      <c r="G45" s="296" t="inlineStr">
        <is>
          <t>Pilot criteria have included Mecklenburg young adults ages 18–24 at imminent risk; current enrollment must be confirmed.</t>
        </is>
      </c>
      <c r="H45" s="296" t="inlineStr">
        <is>
          <t>Flexible cash assistance paired with navigation/coaching.</t>
        </is>
      </c>
      <c r="I45" s="296" t="inlineStr">
        <is>
          <t>Ask The Relatives, Coordinated Entry or the local Continuum of Care whether the pilot is currently accepting referrals.</t>
        </is>
      </c>
      <c r="J45" s="296" t="str"/>
      <c r="K45" s="296" t="inlineStr">
        <is>
          <t>Mecklenburg County.</t>
        </is>
      </c>
      <c r="L45" s="296" t="inlineStr">
        <is>
          <t>Pilot funding and intake status were not confirmed for August 2026.</t>
        </is>
      </c>
      <c r="M45" s="296" t="inlineStr">
        <is>
          <t>https://www.pointsourceyouth.org/mecklenburg-targeted-housing-assistance-program</t>
        </is>
      </c>
      <c r="N45" s="328" t="n">
        <v>46239</v>
      </c>
      <c r="O45" s="296" t="inlineStr">
        <is>
          <t>Not contacted</t>
        </is>
      </c>
      <c r="P45" s="296" t="str"/>
      <c r="Q45" s="296" t="inlineStr">
        <is>
          <t>Charlotte / Mecklenburg</t>
        </is>
      </c>
      <c r="R45" s="296" t="inlineStr">
        <is>
          <t>Charlotte / Mecklenburg</t>
        </is>
      </c>
      <c r="S45" s="296" t="inlineStr">
        <is>
          <t>Located in or serving the requested roughly 30-mile Charlotte search area.</t>
        </is>
      </c>
      <c r="T45" s="219" t="n"/>
      <c r="U45" s="219" t="n"/>
      <c r="V45" s="221" t="n"/>
      <c r="W45" s="52" t="n"/>
      <c r="X45" s="52" t="n"/>
      <c r="Y45" s="52" t="n"/>
      <c r="Z45" s="52" t="n"/>
    </row>
    <row r="46" ht="72" customHeight="1" s="188">
      <c r="A46" s="296" t="n">
        <v>41</v>
      </c>
      <c r="B46" s="296" t="inlineStr">
        <is>
          <t>Food / essentials; Financial capability; Community / belonging</t>
        </is>
      </c>
      <c r="C46" s="296" t="inlineStr">
        <is>
          <t>Mecklenburg Food and Nutrition Services (SNAP/FNS)</t>
        </is>
      </c>
      <c r="D46" s="296" t="inlineStr">
        <is>
          <t>No</t>
        </is>
      </c>
      <c r="E46" s="296" t="inlineStr">
        <is>
          <t>Core</t>
        </is>
      </c>
      <c r="F46" s="296" t="inlineStr">
        <is>
          <t>A low-income young adult needs recurring grocery assistance.</t>
        </is>
      </c>
      <c r="G46" s="296" t="inlineStr">
        <is>
          <t>Income, household and immigration/status rules apply.</t>
        </is>
      </c>
      <c r="H46" s="296" t="inlineStr">
        <is>
          <t>Electronic benefits for purchasing eligible food.</t>
        </is>
      </c>
      <c r="I46" s="296" t="inlineStr">
        <is>
          <t>Apply through ePASS, a Community Resource Center or Mecklenburg County.</t>
        </is>
      </c>
      <c r="J46" s="296" t="inlineStr">
        <is>
          <t>704-336-3000</t>
        </is>
      </c>
      <c r="K46" s="296" t="inlineStr">
        <is>
          <t>Mecklenburg County.</t>
        </is>
      </c>
      <c r="L46" s="296" t="inlineStr">
        <is>
          <t>Processing and verification take time; expedited benefits are available only when statutory criteria are met.</t>
        </is>
      </c>
      <c r="M46" s="296" t="inlineStr">
        <is>
          <t>https://dcr.mecknc.gov/services/food-and-nutrition-services</t>
        </is>
      </c>
      <c r="N46" s="328" t="n">
        <v>46239</v>
      </c>
      <c r="O46" s="296" t="inlineStr">
        <is>
          <t>Not contacted</t>
        </is>
      </c>
      <c r="P46" s="296" t="str"/>
      <c r="Q46" s="296" t="inlineStr">
        <is>
          <t>Charlotte / Mecklenburg</t>
        </is>
      </c>
      <c r="R46" s="296" t="inlineStr">
        <is>
          <t>Charlotte / Mecklenburg</t>
        </is>
      </c>
      <c r="S46" s="296" t="inlineStr">
        <is>
          <t>Located in or serving the requested roughly 30-mile Charlotte search area.</t>
        </is>
      </c>
      <c r="T46" s="219" t="n"/>
      <c r="U46" s="219" t="n"/>
      <c r="V46" s="221" t="n"/>
      <c r="W46" s="52" t="n"/>
      <c r="X46" s="52" t="n"/>
      <c r="Y46" s="52" t="n"/>
      <c r="Z46" s="52" t="n"/>
    </row>
    <row r="47" ht="72" customHeight="1" s="188">
      <c r="A47" s="296" t="n">
        <v>42</v>
      </c>
      <c r="B47" s="296" t="inlineStr">
        <is>
          <t>Food / essentials</t>
        </is>
      </c>
      <c r="C47" s="296" t="inlineStr">
        <is>
          <t>Nourish Up — Food Share and Meals</t>
        </is>
      </c>
      <c r="D47" s="296" t="inlineStr">
        <is>
          <t>No</t>
        </is>
      </c>
      <c r="E47" s="296" t="inlineStr">
        <is>
          <t>Core</t>
        </is>
      </c>
      <c r="F47" s="296" t="inlineStr">
        <is>
          <t>A young adult or household needs pantry groceries or prepared meal support.</t>
        </is>
      </c>
      <c r="G47" s="296" t="inlineStr">
        <is>
          <t>Charlotte/Mecklenburg residents; distribution requirements vary by program/site.</t>
        </is>
      </c>
      <c r="H47" s="296" t="inlineStr">
        <is>
          <t>Food pantries, grocery distribution and meal delivery through local partners.</t>
        </is>
      </c>
      <c r="I47" s="296" t="inlineStr">
        <is>
          <t>Use the Food Share access process or call for the closest distribution option.</t>
        </is>
      </c>
      <c r="J47" s="296" t="str"/>
      <c r="K47" s="296" t="inlineStr">
        <is>
          <t>Charlotte / Mecklenburg County.</t>
        </is>
      </c>
      <c r="L47" s="296" t="inlineStr">
        <is>
          <t>Sites, appointment rules and food availability vary.</t>
        </is>
      </c>
      <c r="M47" s="296" t="inlineStr">
        <is>
          <t>https://nourishup.org/foodshare/</t>
        </is>
      </c>
      <c r="N47" s="328" t="n">
        <v>46239</v>
      </c>
      <c r="O47" s="296" t="inlineStr">
        <is>
          <t>Not contacted</t>
        </is>
      </c>
      <c r="P47" s="296" t="str"/>
      <c r="Q47" s="296" t="inlineStr">
        <is>
          <t>Charlotte / Mecklenburg</t>
        </is>
      </c>
      <c r="R47" s="296" t="inlineStr">
        <is>
          <t>Charlotte / Mecklenburg</t>
        </is>
      </c>
      <c r="S47" s="296" t="inlineStr">
        <is>
          <t>Located in or serving the requested roughly 30-mile Charlotte search area.</t>
        </is>
      </c>
      <c r="T47" s="219" t="n"/>
      <c r="U47" s="219" t="n"/>
      <c r="V47" s="221" t="n"/>
      <c r="W47" s="52" t="n"/>
      <c r="X47" s="52" t="n"/>
      <c r="Y47" s="52" t="n"/>
      <c r="Z47" s="52" t="n"/>
    </row>
    <row r="48" ht="72" customHeight="1" s="188">
      <c r="A48" s="296" t="n">
        <v>43</v>
      </c>
      <c r="B48" s="296" t="inlineStr">
        <is>
          <t>Food / essentials; Financial capability</t>
        </is>
      </c>
      <c r="C48" s="296" t="inlineStr">
        <is>
          <t>Second Harvest Food Bank of Metrolina</t>
        </is>
      </c>
      <c r="D48" s="296" t="inlineStr">
        <is>
          <t>No</t>
        </is>
      </c>
      <c r="E48" s="296" t="inlineStr">
        <is>
          <t>Core</t>
        </is>
      </c>
      <c r="F48" s="296" t="inlineStr">
        <is>
          <t>Finding an emergency food pantry or getting help applying for SNAP.</t>
        </is>
      </c>
      <c r="G48" s="296" t="inlineStr">
        <is>
          <t>Residents in the regional service area; partner pantry rules vary.</t>
        </is>
      </c>
      <c r="H48" s="296" t="inlineStr">
        <is>
          <t>Food locator, partner pantry network and SNAP application assistance.</t>
        </is>
      </c>
      <c r="I48" s="296" t="inlineStr">
        <is>
          <t>Use the Need Food locator; contact a listed partner before traveling.</t>
        </is>
      </c>
      <c r="J48" s="296" t="str"/>
      <c r="K48" s="296" t="inlineStr">
        <is>
          <t>Charlotte region / Metrolina.</t>
        </is>
      </c>
      <c r="L48" s="296" t="inlineStr">
        <is>
          <t>The warehouse generally is not a public walk-in pantry; service is delivered through partners.</t>
        </is>
      </c>
      <c r="M48" s="296" t="inlineStr">
        <is>
          <t>https://www.secondharvestmetrolina.org/need-food</t>
        </is>
      </c>
      <c r="N48" s="328" t="n">
        <v>46239</v>
      </c>
      <c r="O48" s="296" t="inlineStr">
        <is>
          <t>Not contacted</t>
        </is>
      </c>
      <c r="P48" s="296" t="str"/>
      <c r="Q48" s="296" t="inlineStr">
        <is>
          <t>Charlotte / Mecklenburg</t>
        </is>
      </c>
      <c r="R48" s="296" t="inlineStr">
        <is>
          <t>Charlotte / Mecklenburg</t>
        </is>
      </c>
      <c r="S48" s="296" t="inlineStr">
        <is>
          <t>Located in or serving the requested roughly 30-mile Charlotte search area.</t>
        </is>
      </c>
      <c r="T48" s="219" t="n"/>
      <c r="U48" s="219" t="n"/>
      <c r="V48" s="221" t="n"/>
      <c r="W48" s="52" t="n"/>
      <c r="X48" s="52" t="n"/>
      <c r="Y48" s="52" t="n"/>
      <c r="Z48" s="52" t="n"/>
    </row>
    <row r="49" ht="72" customHeight="1" s="188">
      <c r="A49" s="296" t="n">
        <v>44</v>
      </c>
      <c r="B49" s="296" t="inlineStr">
        <is>
          <t>Food / essentials; Housing / homelessness; Health care; Education; Financial capability; Parenting / family</t>
        </is>
      </c>
      <c r="C49" s="296" t="inlineStr">
        <is>
          <t>Mecklenburg WIC</t>
        </is>
      </c>
      <c r="D49" s="296" t="inlineStr">
        <is>
          <t>No</t>
        </is>
      </c>
      <c r="E49" s="296" t="inlineStr">
        <is>
          <t>Specialized</t>
        </is>
      </c>
      <c r="F49" s="296" t="inlineStr">
        <is>
          <t>A pregnant person, new parent or caregiver of a child under five needs nutrition support.</t>
        </is>
      </c>
      <c r="G49" s="296" t="inlineStr">
        <is>
          <t>Pregnant, postpartum or breastfeeding people and children under five who meet income/nutrition criteria.</t>
        </is>
      </c>
      <c r="H49" s="296" t="inlineStr">
        <is>
          <t>Healthy-food benefits, nutrition education, breastfeeding support and health referrals.</t>
        </is>
      </c>
      <c r="I49" s="296" t="inlineStr">
        <is>
          <t>Call Mecklenburg Public Health to apply or schedule an appointment.</t>
        </is>
      </c>
      <c r="J49" s="296" t="inlineStr">
        <is>
          <t>704-336-6500</t>
        </is>
      </c>
      <c r="K49" s="296" t="inlineStr">
        <is>
          <t>Mecklenburg County.</t>
        </is>
      </c>
      <c r="L49" s="296" t="inlineStr">
        <is>
          <t>Not available to young adults without pregnancy/young-child eligibility.</t>
        </is>
      </c>
      <c r="M49" s="296" t="inlineStr">
        <is>
          <t>https://health.mecknc.gov/</t>
        </is>
      </c>
      <c r="N49" s="328" t="n">
        <v>46239</v>
      </c>
      <c r="O49" s="296" t="inlineStr">
        <is>
          <t>Not contacted</t>
        </is>
      </c>
      <c r="P49" s="296" t="str"/>
      <c r="Q49" s="296" t="inlineStr">
        <is>
          <t>Charlotte / Mecklenburg</t>
        </is>
      </c>
      <c r="R49" s="296" t="inlineStr">
        <is>
          <t>Charlotte / Mecklenburg</t>
        </is>
      </c>
      <c r="S49" s="296" t="inlineStr">
        <is>
          <t>Located in or serving the requested roughly 30-mile Charlotte search area.</t>
        </is>
      </c>
      <c r="T49" s="219" t="n"/>
      <c r="U49" s="219" t="n"/>
      <c r="V49" s="221" t="n"/>
      <c r="W49" s="52" t="n"/>
      <c r="X49" s="52" t="n"/>
      <c r="Y49" s="52" t="n"/>
      <c r="Z49" s="52" t="n"/>
    </row>
    <row r="50" ht="72" customHeight="1" s="188">
      <c r="A50" s="296" t="n">
        <v>45</v>
      </c>
      <c r="B50" s="296" t="inlineStr">
        <is>
          <t>Benefits / financial assistance; Health care; Financial capability; Community / belonging</t>
        </is>
      </c>
      <c r="C50" s="296" t="inlineStr">
        <is>
          <t>Mecklenburg Department of Community Resources — Apply for Benefits</t>
        </is>
      </c>
      <c r="D50" s="296" t="inlineStr">
        <is>
          <t>No</t>
        </is>
      </c>
      <c r="E50" s="296" t="inlineStr">
        <is>
          <t>Core</t>
        </is>
      </c>
      <c r="F50" s="296" t="inlineStr">
        <is>
          <t>A young adult may qualify for Medicaid, SNAP, Work First, energy or other public benefits.</t>
        </is>
      </c>
      <c r="G50" s="296" t="inlineStr">
        <is>
          <t>Mecklenburg County residents; each benefit has separate eligibility.</t>
        </is>
      </c>
      <c r="H50" s="296" t="inlineStr">
        <is>
          <t>Application intake and case processing for major county-administered benefits.</t>
        </is>
      </c>
      <c r="I50" s="296" t="inlineStr">
        <is>
          <t>Apply online through ePASS or contact Mecklenburg County.</t>
        </is>
      </c>
      <c r="J50" s="296" t="inlineStr">
        <is>
          <t>704-336-3000</t>
        </is>
      </c>
      <c r="K50" s="296" t="inlineStr">
        <is>
          <t>Mecklenburg County.</t>
        </is>
      </c>
      <c r="L50" s="296" t="inlineStr">
        <is>
          <t>One application does not guarantee eligibility; submit requested documents promptly.</t>
        </is>
      </c>
      <c r="M50" s="296" t="inlineStr">
        <is>
          <t>https://dcr.mecknc.gov/Apply-for-Benefits</t>
        </is>
      </c>
      <c r="N50" s="328" t="n">
        <v>46239</v>
      </c>
      <c r="O50" s="296" t="inlineStr">
        <is>
          <t>Not contacted</t>
        </is>
      </c>
      <c r="P50" s="296" t="str"/>
      <c r="Q50" s="296" t="inlineStr">
        <is>
          <t>Charlotte / Mecklenburg</t>
        </is>
      </c>
      <c r="R50" s="296" t="inlineStr">
        <is>
          <t>Charlotte / Mecklenburg</t>
        </is>
      </c>
      <c r="S50" s="296" t="inlineStr">
        <is>
          <t>Located in or serving the requested roughly 30-mile Charlotte search area.</t>
        </is>
      </c>
      <c r="T50" s="219" t="n"/>
      <c r="U50" s="219" t="n"/>
      <c r="V50" s="221" t="n"/>
      <c r="W50" s="52" t="n"/>
      <c r="X50" s="52" t="n"/>
      <c r="Y50" s="52" t="n"/>
      <c r="Z50" s="52" t="n"/>
    </row>
    <row r="51" ht="72" customHeight="1" s="188">
      <c r="A51" s="296" t="n">
        <v>46</v>
      </c>
      <c r="B51" s="296" t="inlineStr">
        <is>
          <t>Benefits / financial assistance; Mental health / recovery; Financial capability</t>
        </is>
      </c>
      <c r="C51" s="296" t="inlineStr">
        <is>
          <t>Mecklenburg Energy Assistance (LIEAP/CIP)</t>
        </is>
      </c>
      <c r="D51" s="296" t="inlineStr">
        <is>
          <t>No</t>
        </is>
      </c>
      <c r="E51" s="296" t="inlineStr">
        <is>
          <t>Core</t>
        </is>
      </c>
      <c r="F51" s="296" t="inlineStr">
        <is>
          <t>A low-income household is struggling with heating/cooling bills or faces an energy crisis.</t>
        </is>
      </c>
      <c r="G51" s="296" t="inlineStr">
        <is>
          <t>Income and program-specific household criteria apply.</t>
        </is>
      </c>
      <c r="H51" s="296" t="inlineStr">
        <is>
          <t>Seasonal energy assistance and crisis intervention payments.</t>
        </is>
      </c>
      <c r="I51" s="296" t="inlineStr">
        <is>
          <t>Apply through Mecklenburg County during the applicable program period.</t>
        </is>
      </c>
      <c r="J51" s="296" t="inlineStr">
        <is>
          <t>704-336-3000</t>
        </is>
      </c>
      <c r="K51" s="296" t="inlineStr">
        <is>
          <t>Mecklenburg County.</t>
        </is>
      </c>
      <c r="L51" s="296" t="inlineStr">
        <is>
          <t>Funding is seasonal and finite; application windows and priority groups change.</t>
        </is>
      </c>
      <c r="M51" s="296" t="inlineStr">
        <is>
          <t>https://dcr.mecknc.gov/energy</t>
        </is>
      </c>
      <c r="N51" s="328" t="n">
        <v>46239</v>
      </c>
      <c r="O51" s="296" t="inlineStr">
        <is>
          <t>Not contacted</t>
        </is>
      </c>
      <c r="P51" s="296" t="str"/>
      <c r="Q51" s="296" t="inlineStr">
        <is>
          <t>Charlotte / Mecklenburg</t>
        </is>
      </c>
      <c r="R51" s="296" t="inlineStr">
        <is>
          <t>Charlotte / Mecklenburg</t>
        </is>
      </c>
      <c r="S51" s="296" t="inlineStr">
        <is>
          <t>Located in or serving the requested roughly 30-mile Charlotte search area.</t>
        </is>
      </c>
      <c r="T51" s="219" t="n"/>
      <c r="U51" s="219" t="n"/>
      <c r="V51" s="221" t="n"/>
      <c r="W51" s="52" t="n"/>
      <c r="X51" s="52" t="n"/>
      <c r="Y51" s="52" t="n"/>
      <c r="Z51" s="52" t="n"/>
    </row>
    <row r="52" ht="72" customHeight="1" s="188">
      <c r="A52" s="296" t="n">
        <v>47</v>
      </c>
      <c r="B52" s="296" t="inlineStr">
        <is>
          <t>Benefits / financial assistance; Employment / workforce; Financial capability; Community / belonging</t>
        </is>
      </c>
      <c r="C52" s="296" t="inlineStr">
        <is>
          <t>Work First Family Assistance (TANF)</t>
        </is>
      </c>
      <c r="D52" s="296" t="inlineStr">
        <is>
          <t>No</t>
        </is>
      </c>
      <c r="E52" s="296" t="inlineStr">
        <is>
          <t>Specialized</t>
        </is>
      </c>
      <c r="F52" s="296" t="inlineStr">
        <is>
          <t>A very-low-income young adult is caring for a child and needs cash assistance plus employment services.</t>
        </is>
      </c>
      <c r="G52" s="296" t="inlineStr">
        <is>
          <t>Low-income families with children; work and program participation rules apply.</t>
        </is>
      </c>
      <c r="H52" s="296" t="inlineStr">
        <is>
          <t>Time-limited cash assistance, employment services and supportive benefits.</t>
        </is>
      </c>
      <c r="I52" s="296" t="inlineStr">
        <is>
          <t>Apply through Mecklenburg Department of Community Resources.</t>
        </is>
      </c>
      <c r="J52" s="296" t="inlineStr">
        <is>
          <t>704-336-3000</t>
        </is>
      </c>
      <c r="K52" s="296" t="inlineStr">
        <is>
          <t>Mecklenburg County.</t>
        </is>
      </c>
      <c r="L52" s="296" t="inlineStr">
        <is>
          <t>Generally not available to childless adults; sanctions and time limits apply.</t>
        </is>
      </c>
      <c r="M52" s="296" t="inlineStr">
        <is>
          <t>https://dcr.mecknc.gov/Apply-for-Benefits</t>
        </is>
      </c>
      <c r="N52" s="328" t="n">
        <v>46239</v>
      </c>
      <c r="O52" s="296" t="inlineStr">
        <is>
          <t>Not contacted</t>
        </is>
      </c>
      <c r="P52" s="296" t="str"/>
      <c r="Q52" s="296" t="inlineStr">
        <is>
          <t>Charlotte / Mecklenburg</t>
        </is>
      </c>
      <c r="R52" s="296" t="inlineStr">
        <is>
          <t>Charlotte / Mecklenburg</t>
        </is>
      </c>
      <c r="S52" s="296" t="inlineStr">
        <is>
          <t>Located in or serving the requested roughly 30-mile Charlotte search area.</t>
        </is>
      </c>
      <c r="T52" s="219" t="n"/>
      <c r="U52" s="219" t="n"/>
      <c r="V52" s="221" t="n"/>
      <c r="W52" s="52" t="n"/>
      <c r="X52" s="52" t="n"/>
      <c r="Y52" s="52" t="n"/>
      <c r="Z52" s="52" t="n"/>
    </row>
    <row r="53" ht="72" customHeight="1" s="188">
      <c r="A53" s="296" t="n">
        <v>48</v>
      </c>
      <c r="B53" s="296" t="inlineStr">
        <is>
          <t>Benefits / financial assistance; Mental health / recovery; Mentorship; Soft skills / life skills; Financial capability</t>
        </is>
      </c>
      <c r="C53" s="296" t="inlineStr">
        <is>
          <t>Common Wealth Charlotte</t>
        </is>
      </c>
      <c r="D53" s="296" t="inlineStr">
        <is>
          <t>No</t>
        </is>
      </c>
      <c r="E53" s="296" t="inlineStr">
        <is>
          <t>Core</t>
        </is>
      </c>
      <c r="F53" s="296" t="inlineStr">
        <is>
          <t>A young adult needs budgeting, credit repair, banking access, debt planning or a safe small-dollar loan option.</t>
        </is>
      </c>
      <c r="G53" s="296" t="inlineStr">
        <is>
          <t>Charlotte-area residents; specific products/services have eligibility rules.</t>
        </is>
      </c>
      <c r="H53" s="296" t="inlineStr">
        <is>
          <t>Free financial counseling, workshops, safe banking access, credit guidance and eligible 0% loans after counseling.</t>
        </is>
      </c>
      <c r="I53" s="296" t="inlineStr">
        <is>
          <t>Call or schedule a financial counseling session.</t>
        </is>
      </c>
      <c r="J53" s="296" t="inlineStr">
        <is>
          <t>980-636-1262</t>
        </is>
      </c>
      <c r="K53" s="296" t="inlineStr">
        <is>
          <t>5301 Wilkinson Blvd., Charlotte, NC 28208.</t>
        </is>
      </c>
      <c r="L53" s="296" t="inlineStr">
        <is>
          <t>Loans are not automatic; participation and underwriting criteria apply.</t>
        </is>
      </c>
      <c r="M53" s="296" t="inlineStr">
        <is>
          <t>https://www.commonwealthcharlotte.org/</t>
        </is>
      </c>
      <c r="N53" s="328" t="n">
        <v>46239</v>
      </c>
      <c r="O53" s="296" t="inlineStr">
        <is>
          <t>Not contacted</t>
        </is>
      </c>
      <c r="P53" s="296" t="str"/>
      <c r="Q53" s="296" t="inlineStr">
        <is>
          <t>Charlotte / Mecklenburg</t>
        </is>
      </c>
      <c r="R53" s="296" t="inlineStr">
        <is>
          <t>Charlotte / Mecklenburg</t>
        </is>
      </c>
      <c r="S53" s="296" t="inlineStr">
        <is>
          <t>Located in or serving the requested roughly 30-mile Charlotte search area.</t>
        </is>
      </c>
      <c r="T53" s="219" t="n"/>
      <c r="U53" s="219" t="n"/>
      <c r="V53" s="221" t="n"/>
      <c r="W53" s="52" t="n"/>
      <c r="X53" s="52" t="n"/>
      <c r="Y53" s="52" t="n"/>
      <c r="Z53" s="52" t="n"/>
    </row>
    <row r="54" ht="72" customHeight="1" s="188">
      <c r="A54" s="296" t="n">
        <v>49</v>
      </c>
      <c r="B54" s="296" t="inlineStr">
        <is>
          <t>Parenting / family; Housing / homelessness; Education; Financial capability</t>
        </is>
      </c>
      <c r="C54" s="296" t="inlineStr">
        <is>
          <t>Child Care Resources Inc. — Child Care Subsidy Support</t>
        </is>
      </c>
      <c r="D54" s="296" t="inlineStr">
        <is>
          <t>No</t>
        </is>
      </c>
      <c r="E54" s="296" t="inlineStr">
        <is>
          <t>Core</t>
        </is>
      </c>
      <c r="F54" s="296" t="inlineStr">
        <is>
          <t>A parenting young adult needs affordable child care to work, attend school or training.</t>
        </is>
      </c>
      <c r="G54" s="296" t="inlineStr">
        <is>
          <t>Families meeting income, activity and child-age criteria; waitlists may apply.</t>
        </is>
      </c>
      <c r="H54" s="296" t="inlineStr">
        <is>
          <t>Help understanding and applying for child-care subsidy plus child-care search support.</t>
        </is>
      </c>
      <c r="I54" s="296" t="inlineStr">
        <is>
          <t>Call the subsidy information line or use the website.</t>
        </is>
      </c>
      <c r="J54" s="296" t="inlineStr">
        <is>
          <t>704-348-2181</t>
        </is>
      </c>
      <c r="K54" s="296" t="inlineStr">
        <is>
          <t>Mecklenburg County / regional.</t>
        </is>
      </c>
      <c r="L54" s="296" t="inlineStr">
        <is>
          <t>Subsidy funding and waitlists fluctuate; child-care placement is separate from subsidy approval.</t>
        </is>
      </c>
      <c r="M54" s="296" t="inlineStr">
        <is>
          <t>https://www.childcareresourcesinc.org/child-care-subsidy</t>
        </is>
      </c>
      <c r="N54" s="328" t="n">
        <v>46239</v>
      </c>
      <c r="O54" s="296" t="inlineStr">
        <is>
          <t>Not contacted</t>
        </is>
      </c>
      <c r="P54" s="296" t="str"/>
      <c r="Q54" s="296" t="inlineStr">
        <is>
          <t>Charlotte / Mecklenburg</t>
        </is>
      </c>
      <c r="R54" s="296" t="inlineStr">
        <is>
          <t>Charlotte / Mecklenburg</t>
        </is>
      </c>
      <c r="S54" s="296" t="inlineStr">
        <is>
          <t>Located in or serving the requested roughly 30-mile Charlotte search area.</t>
        </is>
      </c>
      <c r="T54" s="219" t="n"/>
      <c r="U54" s="219" t="n"/>
      <c r="V54" s="221" t="n"/>
      <c r="W54" s="52" t="n"/>
      <c r="X54" s="52" t="n"/>
      <c r="Y54" s="52" t="n"/>
      <c r="Z54" s="52" t="n"/>
    </row>
    <row r="55" ht="72" customHeight="1" s="188">
      <c r="A55" s="296" t="n">
        <v>50</v>
      </c>
      <c r="B55" s="296" t="inlineStr">
        <is>
          <t>Benefits / financial assistance; Health care; Financial capability; Legal / identity / safety; Disability support</t>
        </is>
      </c>
      <c r="C55" s="296" t="inlineStr">
        <is>
          <t>Social Security — SSI / SSDI</t>
        </is>
      </c>
      <c r="D55" s="296" t="inlineStr">
        <is>
          <t>No</t>
        </is>
      </c>
      <c r="E55" s="296" t="inlineStr">
        <is>
          <t>Specialized</t>
        </is>
      </c>
      <c r="F55" s="296" t="inlineStr">
        <is>
          <t>A young adult has a documented disability that substantially limits work and may qualify for federal income support.</t>
        </is>
      </c>
      <c r="G55" s="296" t="inlineStr">
        <is>
          <t>Federal disability, work-credit and financial criteria apply.</t>
        </is>
      </c>
      <c r="H55" s="296" t="inlineStr">
        <is>
          <t>Monthly disability income and potential connection to health coverage.</t>
        </is>
      </c>
      <c r="I55" s="296" t="inlineStr">
        <is>
          <t>Apply through the Social Security Administration; gather medical and work documentation.</t>
        </is>
      </c>
      <c r="J55" s="296" t="inlineStr">
        <is>
          <t>800-772-1213</t>
        </is>
      </c>
      <c r="K55" s="296" t="inlineStr">
        <is>
          <t>Federal; local offices serve Charlotte.</t>
        </is>
      </c>
      <c r="L55" s="296" t="inlineStr">
        <is>
          <t>Applications are evidence-heavy and often denied initially; legal assistance may be useful for appeals.</t>
        </is>
      </c>
      <c r="M55" s="296" t="inlineStr">
        <is>
          <t>https://www.ssa.gov/benefits/disability/</t>
        </is>
      </c>
      <c r="N55" s="328" t="n">
        <v>46239</v>
      </c>
      <c r="O55" s="296" t="inlineStr">
        <is>
          <t>Not contacted</t>
        </is>
      </c>
      <c r="P55" s="296" t="str"/>
      <c r="Q55" s="296" t="inlineStr">
        <is>
          <t>Statewide / national</t>
        </is>
      </c>
      <c r="R55" s="296" t="inlineStr">
        <is>
          <t>Statewide / national</t>
        </is>
      </c>
      <c r="S55" s="296" t="inlineStr">
        <is>
          <t>Statewide or national fallback resource accessible from the Charlotte area.</t>
        </is>
      </c>
      <c r="T55" s="219" t="n"/>
      <c r="U55" s="219" t="n"/>
      <c r="V55" s="221" t="n"/>
      <c r="W55" s="52" t="n"/>
      <c r="X55" s="52" t="n"/>
      <c r="Y55" s="52" t="n"/>
      <c r="Z55" s="52" t="n"/>
    </row>
    <row r="56" ht="72" customHeight="1" s="188">
      <c r="A56" s="296" t="n">
        <v>51</v>
      </c>
      <c r="B56" s="296" t="inlineStr">
        <is>
          <t>Health care; Food / essentials; Education</t>
        </is>
      </c>
      <c r="C56" s="296" t="inlineStr">
        <is>
          <t>Teen Health Connection</t>
        </is>
      </c>
      <c r="D56" s="296" t="inlineStr">
        <is>
          <t>No</t>
        </is>
      </c>
      <c r="E56" s="296" t="inlineStr">
        <is>
          <t>Core</t>
        </is>
      </c>
      <c r="F56" s="296" t="inlineStr">
        <is>
          <t>A young person needs adolescent/young-adult primary care, behavioral health, nutrition or health education in one setting.</t>
        </is>
      </c>
      <c r="G56" s="296" t="inlineStr">
        <is>
          <t>Generally ages 11–25.</t>
        </is>
      </c>
      <c r="H56" s="296" t="inlineStr">
        <is>
          <t>Integrated medical and behavioral-health care tailored to adolescents and young adults.</t>
        </is>
      </c>
      <c r="I56" s="296" t="inlineStr">
        <is>
          <t>Call for an appointment.</t>
        </is>
      </c>
      <c r="J56" s="296" t="inlineStr">
        <is>
          <t>704-381-8336</t>
        </is>
      </c>
      <c r="K56" s="296" t="inlineStr">
        <is>
          <t>3541 Randolph Rd., Suite 206, Charlotte, NC 28211.</t>
        </is>
      </c>
      <c r="L56" s="296" t="inlineStr">
        <is>
          <t>Insurance, sliding-fee and service eligibility should be confirmed when scheduling.</t>
        </is>
      </c>
      <c r="M56" s="296" t="inlineStr">
        <is>
          <t>https://teenhealthconnection.org/</t>
        </is>
      </c>
      <c r="N56" s="328" t="n">
        <v>46239</v>
      </c>
      <c r="O56" s="296" t="inlineStr">
        <is>
          <t>Not contacted</t>
        </is>
      </c>
      <c r="P56" s="296" t="str"/>
      <c r="Q56" s="296" t="inlineStr">
        <is>
          <t>Charlotte / Mecklenburg</t>
        </is>
      </c>
      <c r="R56" s="296" t="inlineStr">
        <is>
          <t>Charlotte / Mecklenburg</t>
        </is>
      </c>
      <c r="S56" s="296" t="inlineStr">
        <is>
          <t>Located in or serving the requested roughly 30-mile Charlotte search area.</t>
        </is>
      </c>
      <c r="T56" s="219" t="n"/>
      <c r="U56" s="219" t="n"/>
      <c r="V56" s="221" t="n"/>
      <c r="W56" s="52" t="n"/>
      <c r="X56" s="52" t="n"/>
      <c r="Y56" s="52" t="n"/>
      <c r="Z56" s="52" t="n"/>
    </row>
    <row r="57" ht="72" customHeight="1" s="188">
      <c r="A57" s="296" t="n">
        <v>52</v>
      </c>
      <c r="B57" s="296" t="inlineStr">
        <is>
          <t>Health care; Financial capability</t>
        </is>
      </c>
      <c r="C57" s="296" t="inlineStr">
        <is>
          <t>Care Ring Low-Cost Clinic</t>
        </is>
      </c>
      <c r="D57" s="296" t="inlineStr">
        <is>
          <t>No</t>
        </is>
      </c>
      <c r="E57" s="296" t="inlineStr">
        <is>
          <t>Core</t>
        </is>
      </c>
      <c r="F57" s="296" t="inlineStr">
        <is>
          <t>An uninsured or underinsured adult needs affordable primary care.</t>
        </is>
      </c>
      <c r="G57" s="296" t="inlineStr">
        <is>
          <t>Adults meeting the clinic's service and financial criteria.</t>
        </is>
      </c>
      <c r="H57" s="296" t="inlineStr">
        <is>
          <t>Low-cost primary care, chronic-disease management and care coordination.</t>
        </is>
      </c>
      <c r="I57" s="296" t="inlineStr">
        <is>
          <t>Call for eligibility and an appointment.</t>
        </is>
      </c>
      <c r="J57" s="296" t="inlineStr">
        <is>
          <t>704-375-0172</t>
        </is>
      </c>
      <c r="K57" s="296" t="inlineStr">
        <is>
          <t>1514 N. Graham St., Charlotte, NC 28206.</t>
        </is>
      </c>
      <c r="L57" s="296" t="inlineStr">
        <is>
          <t>Not an emergency clinic; appointment availability varies.</t>
        </is>
      </c>
      <c r="M57" s="296" t="inlineStr">
        <is>
          <t>https://careringnc.org/low-cost-clinic/</t>
        </is>
      </c>
      <c r="N57" s="328" t="n">
        <v>46239</v>
      </c>
      <c r="O57" s="296" t="inlineStr">
        <is>
          <t>Not contacted</t>
        </is>
      </c>
      <c r="P57" s="296" t="str"/>
      <c r="Q57" s="296" t="inlineStr">
        <is>
          <t>Charlotte / Mecklenburg</t>
        </is>
      </c>
      <c r="R57" s="296" t="inlineStr">
        <is>
          <t>Charlotte / Mecklenburg</t>
        </is>
      </c>
      <c r="S57" s="296" t="inlineStr">
        <is>
          <t>Located in or serving the requested roughly 30-mile Charlotte search area.</t>
        </is>
      </c>
      <c r="T57" s="219" t="n"/>
      <c r="U57" s="219" t="n"/>
      <c r="V57" s="221" t="n"/>
      <c r="W57" s="52" t="n"/>
      <c r="X57" s="52" t="n"/>
      <c r="Y57" s="52" t="n"/>
      <c r="Z57" s="52" t="n"/>
    </row>
    <row r="58" ht="72" customHeight="1" s="188">
      <c r="A58" s="296" t="n">
        <v>53</v>
      </c>
      <c r="B58" s="296" t="inlineStr">
        <is>
          <t>Health care; Financial capability; Community / belonging</t>
        </is>
      </c>
      <c r="C58" s="296" t="inlineStr">
        <is>
          <t>Charlotte Community Health Clinic</t>
        </is>
      </c>
      <c r="D58" s="296" t="inlineStr">
        <is>
          <t>No</t>
        </is>
      </c>
      <c r="E58" s="296" t="inlineStr">
        <is>
          <t>Core</t>
        </is>
      </c>
      <c r="F58" s="296" t="inlineStr">
        <is>
          <t>An uninsured, underinsured or Medicaid-covered person needs primary, dental or behavioral care.</t>
        </is>
      </c>
      <c r="G58" s="296" t="inlineStr">
        <is>
          <t>Open to community patients; discount eligibility is based on income and household size.</t>
        </is>
      </c>
      <c r="H58" s="296" t="inlineStr">
        <is>
          <t>Primary care, dental, behavioral health and pharmacy-related support.</t>
        </is>
      </c>
      <c r="I58" s="296" t="inlineStr">
        <is>
          <t>Call for a new-patient appointment and ask about the discount program.</t>
        </is>
      </c>
      <c r="J58" s="296" t="inlineStr">
        <is>
          <t>704-316-6561</t>
        </is>
      </c>
      <c r="K58" s="296" t="inlineStr">
        <is>
          <t>Multiple Charlotte-area locations.</t>
        </is>
      </c>
      <c r="L58" s="296" t="inlineStr">
        <is>
          <t>Appointment availability and service mix differ by location.</t>
        </is>
      </c>
      <c r="M58" s="296" t="inlineStr">
        <is>
          <t>https://charlottecommunityhealth.org/en/</t>
        </is>
      </c>
      <c r="N58" s="328" t="n">
        <v>46239</v>
      </c>
      <c r="O58" s="296" t="inlineStr">
        <is>
          <t>Not contacted</t>
        </is>
      </c>
      <c r="P58" s="296" t="str"/>
      <c r="Q58" s="296" t="inlineStr">
        <is>
          <t>Charlotte / Mecklenburg</t>
        </is>
      </c>
      <c r="R58" s="296" t="inlineStr">
        <is>
          <t>Charlotte / Mecklenburg</t>
        </is>
      </c>
      <c r="S58" s="296" t="inlineStr">
        <is>
          <t>Located in or serving the requested roughly 30-mile Charlotte search area.</t>
        </is>
      </c>
      <c r="T58" s="219" t="n"/>
      <c r="U58" s="219" t="n"/>
      <c r="V58" s="221" t="n"/>
      <c r="W58" s="52" t="n"/>
      <c r="X58" s="52" t="n"/>
      <c r="Y58" s="52" t="n"/>
      <c r="Z58" s="52" t="n"/>
    </row>
    <row r="59" ht="72" customHeight="1" s="188">
      <c r="A59" s="296" t="n">
        <v>54</v>
      </c>
      <c r="B59" s="296" t="inlineStr">
        <is>
          <t>Health care; Mental health / recovery; Financial capability; Community / belonging</t>
        </is>
      </c>
      <c r="C59" s="296" t="inlineStr">
        <is>
          <t>C.W. Williams Community Health Center</t>
        </is>
      </c>
      <c r="D59" s="296" t="inlineStr">
        <is>
          <t>No</t>
        </is>
      </c>
      <c r="E59" s="296" t="inlineStr">
        <is>
          <t>Core</t>
        </is>
      </c>
      <c r="F59" s="296" t="inlineStr">
        <is>
          <t>A young adult needs affordable primary care through a federally qualified health center.</t>
        </is>
      </c>
      <c r="G59" s="296" t="inlineStr">
        <is>
          <t>Community patients; sliding-fee eligibility depends on income and documentation.</t>
        </is>
      </c>
      <c r="H59" s="296" t="inlineStr">
        <is>
          <t>Primary and preventive care, dental care, behavioral health, substance-use treatment, HIV/STI services, pharmacy/lab support and case management.</t>
        </is>
      </c>
      <c r="I59" s="296" t="inlineStr">
        <is>
          <t>Call to establish care and ask about sliding-fee documentation and the appropriate service line.</t>
        </is>
      </c>
      <c r="J59" s="296" t="inlineStr">
        <is>
          <t>704-393-7720</t>
        </is>
      </c>
      <c r="K59" s="296" t="inlineStr">
        <is>
          <t>Charlotte.</t>
        </is>
      </c>
      <c r="L59" s="296" t="inlineStr">
        <is>
          <t>Bring income/insurance information; specialty access may require referral.</t>
        </is>
      </c>
      <c r="M59" s="296" t="inlineStr">
        <is>
          <t>https://cwwilliams.org/services/</t>
        </is>
      </c>
      <c r="N59" s="328" t="n">
        <v>46239</v>
      </c>
      <c r="O59" s="296" t="inlineStr">
        <is>
          <t>Not contacted</t>
        </is>
      </c>
      <c r="P59" s="296" t="inlineStr">
        <is>
          <t>Reviewed against Charlotte Young Adult Resource Database and current official provider information.</t>
        </is>
      </c>
      <c r="Q59" s="296" t="inlineStr">
        <is>
          <t>Charlotte / Mecklenburg</t>
        </is>
      </c>
      <c r="R59" s="296" t="inlineStr">
        <is>
          <t>Charlotte / Mecklenburg</t>
        </is>
      </c>
      <c r="S59" s="296" t="inlineStr">
        <is>
          <t>Located in or serving the requested roughly 30-mile Charlotte search area.</t>
        </is>
      </c>
      <c r="T59" s="219" t="n"/>
      <c r="U59" s="219" t="n"/>
      <c r="V59" s="221" t="n"/>
      <c r="W59" s="52" t="n"/>
      <c r="X59" s="52" t="n"/>
      <c r="Y59" s="52" t="n"/>
      <c r="Z59" s="52" t="n"/>
    </row>
    <row r="60" ht="72" customHeight="1" s="188">
      <c r="A60" s="296" t="n">
        <v>55</v>
      </c>
      <c r="B60" s="296" t="inlineStr">
        <is>
          <t>Health care; Food / essentials; Mental health / recovery; Education; Community / belonging</t>
        </is>
      </c>
      <c r="C60" s="296" t="inlineStr">
        <is>
          <t>Camino Health Center</t>
        </is>
      </c>
      <c r="D60" s="296" t="inlineStr">
        <is>
          <t>No</t>
        </is>
      </c>
      <c r="E60" s="296" t="inlineStr">
        <is>
          <t>Specialized</t>
        </is>
      </c>
      <c r="F60" s="296" t="inlineStr">
        <is>
          <t>A Spanish-speaking or immigrant young adult needs culturally responsive primary care, behavioral health, wellness or food support.</t>
        </is>
      </c>
      <c r="G60" s="296" t="inlineStr">
        <is>
          <t>Community patients, especially uninsured/underinsured Latino families; program-specific criteria apply.</t>
        </is>
      </c>
      <c r="H60" s="296" t="inlineStr">
        <is>
          <t>Bilingual primary care, behavioral health, wellness education, social navigation and Food Farmacy pantry support.</t>
        </is>
      </c>
      <c r="I60" s="296" t="inlineStr">
        <is>
          <t>Contact Camino and request the appropriate clinic, behavioral-health, social-navigation or Food Farmacy service.</t>
        </is>
      </c>
      <c r="J60" s="296" t="str"/>
      <c r="K60" s="296" t="inlineStr">
        <is>
          <t>201 Stetson Dr., Charlotte, NC 28262.</t>
        </is>
      </c>
      <c r="L60" s="296" t="inlineStr">
        <is>
          <t>Some services may be limited to established health-center patients.</t>
        </is>
      </c>
      <c r="M60" s="296" t="inlineStr">
        <is>
          <t>https://camino.org/</t>
        </is>
      </c>
      <c r="N60" s="328" t="n">
        <v>46239</v>
      </c>
      <c r="O60" s="296" t="inlineStr">
        <is>
          <t>Not contacted</t>
        </is>
      </c>
      <c r="P60" s="296" t="inlineStr">
        <is>
          <t>Reviewed against Charlotte Young Adult Resource Database and current official provider information.</t>
        </is>
      </c>
      <c r="Q60" s="296" t="inlineStr">
        <is>
          <t>Charlotte / Mecklenburg</t>
        </is>
      </c>
      <c r="R60" s="296" t="inlineStr">
        <is>
          <t>Charlotte / Mecklenburg</t>
        </is>
      </c>
      <c r="S60" s="296" t="inlineStr">
        <is>
          <t>Located in or serving the requested roughly 30-mile Charlotte search area.</t>
        </is>
      </c>
      <c r="T60" s="219" t="n"/>
      <c r="U60" s="219" t="n"/>
      <c r="V60" s="221" t="n"/>
      <c r="W60" s="52" t="n"/>
      <c r="X60" s="52" t="n"/>
      <c r="Y60" s="52" t="n"/>
      <c r="Z60" s="52" t="n"/>
    </row>
    <row r="61" ht="72" customHeight="1" s="188">
      <c r="A61" s="296" t="n">
        <v>56</v>
      </c>
      <c r="B61" s="296" t="inlineStr">
        <is>
          <t>Health care; Legal / identity / safety</t>
        </is>
      </c>
      <c r="C61" s="296" t="inlineStr">
        <is>
          <t>Mecklenburg Free and Low-Cost Clinic Directory</t>
        </is>
      </c>
      <c r="D61" s="296" t="inlineStr">
        <is>
          <t>No</t>
        </is>
      </c>
      <c r="E61" s="296" t="inlineStr">
        <is>
          <t>Backup</t>
        </is>
      </c>
      <c r="F61" s="296" t="inlineStr">
        <is>
          <t>the program needs to compare multiple safety-net clinics by location and service.</t>
        </is>
      </c>
      <c r="G61" s="296" t="inlineStr">
        <is>
          <t>Eligibility varies by clinic.</t>
        </is>
      </c>
      <c r="H61" s="296" t="inlineStr">
        <is>
          <t>County list of free and low-cost medical, dental and specialty-care providers.</t>
        </is>
      </c>
      <c r="I61" s="296" t="inlineStr">
        <is>
          <t>Use the directory, then call the selected clinic to verify intake.</t>
        </is>
      </c>
      <c r="J61" s="296" t="str"/>
      <c r="K61" s="296" t="inlineStr">
        <is>
          <t>Mecklenburg County.</t>
        </is>
      </c>
      <c r="L61" s="296" t="inlineStr">
        <is>
          <t>Directory listings do not guarantee a provider is accepting new patients.</t>
        </is>
      </c>
      <c r="M61" s="296" t="inlineStr">
        <is>
          <t>https://health.mecknc.gov/FreeLowCostClinics</t>
        </is>
      </c>
      <c r="N61" s="328" t="n">
        <v>46239</v>
      </c>
      <c r="O61" s="296" t="inlineStr">
        <is>
          <t>Not contacted</t>
        </is>
      </c>
      <c r="P61" s="296" t="str"/>
      <c r="Q61" s="296" t="inlineStr">
        <is>
          <t>Charlotte / Mecklenburg</t>
        </is>
      </c>
      <c r="R61" s="296" t="inlineStr">
        <is>
          <t>Charlotte / Mecklenburg</t>
        </is>
      </c>
      <c r="S61" s="296" t="inlineStr">
        <is>
          <t>Located in or serving the requested roughly 30-mile Charlotte search area.</t>
        </is>
      </c>
      <c r="T61" s="219" t="n"/>
      <c r="U61" s="219" t="n"/>
      <c r="V61" s="221" t="n"/>
      <c r="W61" s="52" t="n"/>
      <c r="X61" s="52" t="n"/>
      <c r="Y61" s="52" t="n"/>
      <c r="Z61" s="52" t="n"/>
    </row>
    <row r="62" ht="72" customHeight="1" s="188">
      <c r="A62" s="296" t="n">
        <v>57</v>
      </c>
      <c r="B62" s="296" t="inlineStr">
        <is>
          <t>Health care; Housing / homelessness; Mental health / recovery; Education; Community / belonging</t>
        </is>
      </c>
      <c r="C62" s="296" t="inlineStr">
        <is>
          <t>Mecklenburg Public Health — HIV/STI Testing and Treatment</t>
        </is>
      </c>
      <c r="D62" s="296" t="inlineStr">
        <is>
          <t>No</t>
        </is>
      </c>
      <c r="E62" s="296" t="inlineStr">
        <is>
          <t>Core</t>
        </is>
      </c>
      <c r="F62" s="296" t="inlineStr">
        <is>
          <t>A young adult needs confidential HIV/STI testing, treatment or prevention counseling.</t>
        </is>
      </c>
      <c r="G62" s="296" t="inlineStr">
        <is>
          <t>Community members; service costs and appointment rules depend on test/treatment needs.</t>
        </is>
      </c>
      <c r="H62" s="296" t="inlineStr">
        <is>
          <t>HIV/STI testing, treatment, education and referral.</t>
        </is>
      </c>
      <c r="I62" s="296" t="inlineStr">
        <is>
          <t>Call 704-432-TEST for testing help or 704-336-6500 for clinic appointments.</t>
        </is>
      </c>
      <c r="J62" s="296" t="inlineStr">
        <is>
          <t>704-432-8378 / 704-336-6500</t>
        </is>
      </c>
      <c r="K62" s="296" t="inlineStr">
        <is>
          <t>Mecklenburg County public-health clinics and community sites.</t>
        </is>
      </c>
      <c r="L62" s="296" t="inlineStr">
        <is>
          <t>Walk-in and appointment procedures can change; call for current instructions.</t>
        </is>
      </c>
      <c r="M62" s="296" t="inlineStr">
        <is>
          <t>https://health.mecknc.gov/clinical-services/STI-testing-treatment</t>
        </is>
      </c>
      <c r="N62" s="328" t="n">
        <v>46239</v>
      </c>
      <c r="O62" s="296" t="inlineStr">
        <is>
          <t>Not contacted</t>
        </is>
      </c>
      <c r="P62" s="296" t="str"/>
      <c r="Q62" s="296" t="inlineStr">
        <is>
          <t>Charlotte / Mecklenburg</t>
        </is>
      </c>
      <c r="R62" s="296" t="inlineStr">
        <is>
          <t>Charlotte / Mecklenburg</t>
        </is>
      </c>
      <c r="S62" s="296" t="inlineStr">
        <is>
          <t>Located in or serving the requested roughly 30-mile Charlotte search area.</t>
        </is>
      </c>
      <c r="T62" s="219" t="n"/>
      <c r="U62" s="219" t="n"/>
      <c r="V62" s="221" t="n"/>
      <c r="W62" s="52" t="n"/>
      <c r="X62" s="52" t="n"/>
      <c r="Y62" s="52" t="n"/>
      <c r="Z62" s="52" t="n"/>
    </row>
    <row r="63" ht="72" customHeight="1" s="188">
      <c r="A63" s="296" t="n">
        <v>58</v>
      </c>
      <c r="B63" s="296" t="inlineStr">
        <is>
          <t>Health care; Community / belonging</t>
        </is>
      </c>
      <c r="C63" s="296" t="inlineStr">
        <is>
          <t>RAO Community Health — HIV/STI Services</t>
        </is>
      </c>
      <c r="D63" s="296" t="inlineStr">
        <is>
          <t>No</t>
        </is>
      </c>
      <c r="E63" s="296" t="inlineStr">
        <is>
          <t>Specialized</t>
        </is>
      </c>
      <c r="F63" s="296" t="inlineStr">
        <is>
          <t>A young adult needs free rapid HIV, hepatitis C or syphilis testing, PrEP or HIV-related care.</t>
        </is>
      </c>
      <c r="G63" s="296" t="inlineStr">
        <is>
          <t>Community members; some free services are limited to Mecklenburg residents.</t>
        </is>
      </c>
      <c r="H63" s="296" t="inlineStr">
        <is>
          <t>Testing, treatment linkage, PrEP and HIV supportive services.</t>
        </is>
      </c>
      <c r="I63" s="296" t="inlineStr">
        <is>
          <t>Call or schedule through RAO Community Health.</t>
        </is>
      </c>
      <c r="J63" s="296" t="inlineStr">
        <is>
          <t>704-237-8793</t>
        </is>
      </c>
      <c r="K63" s="296" t="inlineStr">
        <is>
          <t>Charlotte.</t>
        </is>
      </c>
      <c r="L63" s="296" t="inlineStr">
        <is>
          <t>Clinic schedules and free-service eligibility vary.</t>
        </is>
      </c>
      <c r="M63" s="296" t="inlineStr">
        <is>
          <t>https://raoassist.org/clinical-services/</t>
        </is>
      </c>
      <c r="N63" s="328" t="n">
        <v>46239</v>
      </c>
      <c r="O63" s="296" t="inlineStr">
        <is>
          <t>Not contacted</t>
        </is>
      </c>
      <c r="P63" s="296" t="str"/>
      <c r="Q63" s="296" t="inlineStr">
        <is>
          <t>Charlotte / Mecklenburg</t>
        </is>
      </c>
      <c r="R63" s="296" t="inlineStr">
        <is>
          <t>Charlotte / Mecklenburg</t>
        </is>
      </c>
      <c r="S63" s="296" t="inlineStr">
        <is>
          <t>Located in or serving the requested roughly 30-mile Charlotte search area.</t>
        </is>
      </c>
      <c r="T63" s="219" t="n"/>
      <c r="U63" s="219" t="n"/>
      <c r="V63" s="221" t="n"/>
      <c r="W63" s="52" t="n"/>
      <c r="X63" s="52" t="n"/>
      <c r="Y63" s="52" t="n"/>
      <c r="Z63" s="52" t="n"/>
    </row>
    <row r="64" ht="72" customHeight="1" s="188">
      <c r="A64" s="296" t="n">
        <v>59</v>
      </c>
      <c r="B64" s="296" t="inlineStr">
        <is>
          <t>Health care; Housing / homelessness; Parenting / family</t>
        </is>
      </c>
      <c r="C64" s="296" t="inlineStr">
        <is>
          <t>Planned Parenthood — Charlotte Health Center</t>
        </is>
      </c>
      <c r="D64" s="296" t="inlineStr">
        <is>
          <t>No</t>
        </is>
      </c>
      <c r="E64" s="296" t="inlineStr">
        <is>
          <t>Specialized</t>
        </is>
      </c>
      <c r="F64" s="296" t="inlineStr">
        <is>
          <t>A young adult needs reproductive health care, contraception, pregnancy testing or STI services.</t>
        </is>
      </c>
      <c r="G64" s="296" t="inlineStr">
        <is>
          <t>Patients seeking covered services; fees and consent rules depend on service and age.</t>
        </is>
      </c>
      <c r="H64" s="296" t="inlineStr">
        <is>
          <t>Sexual and reproductive health services, including STI testing and treatment.</t>
        </is>
      </c>
      <c r="I64" s="296" t="inlineStr">
        <is>
          <t>Call or book through the Charlotte Health Center.</t>
        </is>
      </c>
      <c r="J64" s="296" t="inlineStr">
        <is>
          <t>704-536-7233</t>
        </is>
      </c>
      <c r="K64" s="296" t="inlineStr">
        <is>
          <t>Charlotte.</t>
        </is>
      </c>
      <c r="L64" s="296" t="inlineStr">
        <is>
          <t>Services, costs and insurance participation should be confirmed before the visit.</t>
        </is>
      </c>
      <c r="M64" s="296" t="inlineStr">
        <is>
          <t>https://www.plannedparenthood.org/health-center/north-carolina/charlotte/28204/charlotte-health-center-2703-90860/std-testing-treatment</t>
        </is>
      </c>
      <c r="N64" s="328" t="n">
        <v>46239</v>
      </c>
      <c r="O64" s="296" t="inlineStr">
        <is>
          <t>Not contacted</t>
        </is>
      </c>
      <c r="P64" s="296" t="str"/>
      <c r="Q64" s="296" t="inlineStr">
        <is>
          <t>Charlotte / Mecklenburg</t>
        </is>
      </c>
      <c r="R64" s="296" t="inlineStr">
        <is>
          <t>Charlotte / Mecklenburg</t>
        </is>
      </c>
      <c r="S64" s="296" t="inlineStr">
        <is>
          <t>Located in or serving the requested roughly 30-mile Charlotte search area.</t>
        </is>
      </c>
      <c r="T64" s="219" t="n"/>
      <c r="U64" s="219" t="n"/>
      <c r="V64" s="221" t="n"/>
      <c r="W64" s="52" t="n"/>
      <c r="X64" s="52" t="n"/>
      <c r="Y64" s="52" t="n"/>
      <c r="Z64" s="52" t="n"/>
    </row>
    <row r="65" ht="72" customHeight="1" s="188">
      <c r="A65" s="296" t="n">
        <v>60</v>
      </c>
      <c r="B65" s="296" t="inlineStr">
        <is>
          <t>Parenting / family; Housing / homelessness; Health care; Education; Financial capability</t>
        </is>
      </c>
      <c r="C65" s="296" t="inlineStr">
        <is>
          <t>Care Ring Nurse-Family Partnership</t>
        </is>
      </c>
      <c r="D65" s="296" t="inlineStr">
        <is>
          <t>No</t>
        </is>
      </c>
      <c r="E65" s="296" t="inlineStr">
        <is>
          <t>Specialized</t>
        </is>
      </c>
      <c r="F65" s="296" t="inlineStr">
        <is>
          <t>A first-time parent with limited resources needs home-visiting support during pregnancy and early childhood.</t>
        </is>
      </c>
      <c r="G65" s="296" t="inlineStr">
        <is>
          <t>First-time mothers meeting pregnancy timing, income and service-area criteria.</t>
        </is>
      </c>
      <c r="H65" s="296" t="inlineStr">
        <is>
          <t>Nurse home visits, prenatal/parenting education, health support and connection to resources.</t>
        </is>
      </c>
      <c r="I65" s="296" t="inlineStr">
        <is>
          <t>Call or text for eligibility screening.</t>
        </is>
      </c>
      <c r="J65" s="296" t="inlineStr">
        <is>
          <t>980-900-8132</t>
        </is>
      </c>
      <c r="K65" s="296" t="inlineStr">
        <is>
          <t>Mecklenburg County / service area.</t>
        </is>
      </c>
      <c r="L65" s="296" t="inlineStr">
        <is>
          <t>Enrollment must occur during pregnancy and capacity may be limited.</t>
        </is>
      </c>
      <c r="M65" s="296" t="inlineStr">
        <is>
          <t>https://careringnc.org/nurse-family-partnership/</t>
        </is>
      </c>
      <c r="N65" s="328" t="n">
        <v>46239</v>
      </c>
      <c r="O65" s="296" t="inlineStr">
        <is>
          <t>Not contacted</t>
        </is>
      </c>
      <c r="P65" s="296" t="str"/>
      <c r="Q65" s="296" t="inlineStr">
        <is>
          <t>Charlotte / Mecklenburg</t>
        </is>
      </c>
      <c r="R65" s="296" t="inlineStr">
        <is>
          <t>Charlotte / Mecklenburg</t>
        </is>
      </c>
      <c r="S65" s="296" t="inlineStr">
        <is>
          <t>Located in or serving the requested roughly 30-mile Charlotte search area.</t>
        </is>
      </c>
      <c r="T65" s="219" t="n"/>
      <c r="U65" s="219" t="n"/>
      <c r="V65" s="221" t="n"/>
      <c r="W65" s="52" t="n"/>
      <c r="X65" s="52" t="n"/>
      <c r="Y65" s="52" t="n"/>
      <c r="Z65" s="52" t="n"/>
    </row>
    <row r="66" ht="72" customHeight="1" s="188">
      <c r="A66" s="296" t="n">
        <v>61</v>
      </c>
      <c r="B66" s="296" t="inlineStr">
        <is>
          <t>Mental health / recovery; Housing / homelessness; Health care; Education; Community / belonging</t>
        </is>
      </c>
      <c r="C66" s="296" t="inlineStr">
        <is>
          <t>NAMI Charlotte</t>
        </is>
      </c>
      <c r="D66" s="296" t="inlineStr">
        <is>
          <t>No</t>
        </is>
      </c>
      <c r="E66" s="296" t="inlineStr">
        <is>
          <t>Backup</t>
        </is>
      </c>
      <c r="F66" s="296" t="inlineStr">
        <is>
          <t>A young adult or supporter needs mental-health education, peer/family support or crisis-resource guidance.</t>
        </is>
      </c>
      <c r="G66" s="296" t="inlineStr">
        <is>
          <t>Programs vary; many are free and open to people affected by mental illness.</t>
        </is>
      </c>
      <c r="H66" s="296" t="inlineStr">
        <is>
          <t>Support groups, education, advocacy and crisis-resource information.</t>
        </is>
      </c>
      <c r="I66" s="296" t="inlineStr">
        <is>
          <t>Use the website to find a current group or program.</t>
        </is>
      </c>
      <c r="J66" s="296" t="str"/>
      <c r="K66" s="296" t="inlineStr">
        <is>
          <t>Charlotte / Mecklenburg County.</t>
        </is>
      </c>
      <c r="L66" s="296" t="inlineStr">
        <is>
          <t>NAMI is not a crisis-response or clinical-treatment provider.</t>
        </is>
      </c>
      <c r="M66" s="296" t="inlineStr">
        <is>
          <t>https://namicharlotte.org/crisis-info/</t>
        </is>
      </c>
      <c r="N66" s="328" t="n">
        <v>46239</v>
      </c>
      <c r="O66" s="296" t="inlineStr">
        <is>
          <t>Not contacted</t>
        </is>
      </c>
      <c r="P66" s="296" t="str"/>
      <c r="Q66" s="296" t="inlineStr">
        <is>
          <t>Charlotte / Mecklenburg</t>
        </is>
      </c>
      <c r="R66" s="296" t="inlineStr">
        <is>
          <t>Charlotte / Mecklenburg</t>
        </is>
      </c>
      <c r="S66" s="296" t="inlineStr">
        <is>
          <t>Located in or serving the requested roughly 30-mile Charlotte search area.</t>
        </is>
      </c>
      <c r="T66" s="219" t="n"/>
      <c r="U66" s="219" t="n"/>
      <c r="V66" s="221" t="n"/>
      <c r="W66" s="52" t="n"/>
      <c r="X66" s="52" t="n"/>
      <c r="Y66" s="52" t="n"/>
      <c r="Z66" s="52" t="n"/>
    </row>
    <row r="67" ht="72" customHeight="1" s="188">
      <c r="A67" s="296" t="n">
        <v>62</v>
      </c>
      <c r="B67" s="296" t="inlineStr">
        <is>
          <t>Mental health / recovery; Health care</t>
        </is>
      </c>
      <c r="C67" s="296" t="inlineStr">
        <is>
          <t>Anuvia Prevention &amp; Recovery Center</t>
        </is>
      </c>
      <c r="D67" s="296" t="inlineStr">
        <is>
          <t>No</t>
        </is>
      </c>
      <c r="E67" s="296" t="inlineStr">
        <is>
          <t>Core</t>
        </is>
      </c>
      <c r="F67" s="296" t="inlineStr">
        <is>
          <t>A young adult needs substance-use assessment, detox, outpatient or residential treatment.</t>
        </is>
      </c>
      <c r="G67" s="296" t="inlineStr">
        <is>
          <t>Adolescents and adults; clinical, payer and program criteria apply.</t>
        </is>
      </c>
      <c r="H67" s="296" t="inlineStr">
        <is>
          <t>Prevention, assessment, detoxification, residential and outpatient substance-use treatment.</t>
        </is>
      </c>
      <c r="I67" s="296" t="inlineStr">
        <is>
          <t>Call the main line for assessment; use the detox line for withdrawal-management intake.</t>
        </is>
      </c>
      <c r="J67" s="296" t="inlineStr">
        <is>
          <t>704-376-7447 / detox 704-445-6900</t>
        </is>
      </c>
      <c r="K67" s="296" t="inlineStr">
        <is>
          <t>Charlotte / Mecklenburg County.</t>
        </is>
      </c>
      <c r="L67" s="296" t="inlineStr">
        <is>
          <t>Level of care is determined clinically; bed availability and payment coverage vary.</t>
        </is>
      </c>
      <c r="M67" s="296" t="inlineStr">
        <is>
          <t>https://www.anuvia.org/</t>
        </is>
      </c>
      <c r="N67" s="328" t="n">
        <v>46239</v>
      </c>
      <c r="O67" s="296" t="inlineStr">
        <is>
          <t>Not contacted</t>
        </is>
      </c>
      <c r="P67" s="296" t="str"/>
      <c r="Q67" s="296" t="inlineStr">
        <is>
          <t>Charlotte / Mecklenburg</t>
        </is>
      </c>
      <c r="R67" s="296" t="inlineStr">
        <is>
          <t>Charlotte / Mecklenburg</t>
        </is>
      </c>
      <c r="S67" s="296" t="inlineStr">
        <is>
          <t>Located in or serving the requested roughly 30-mile Charlotte search area.</t>
        </is>
      </c>
      <c r="T67" s="219" t="n"/>
      <c r="U67" s="219" t="n"/>
      <c r="V67" s="221" t="n"/>
      <c r="W67" s="52" t="n"/>
      <c r="X67" s="52" t="n"/>
      <c r="Y67" s="52" t="n"/>
      <c r="Z67" s="52" t="n"/>
    </row>
    <row r="68" ht="72" customHeight="1" s="188">
      <c r="A68" s="296" t="n">
        <v>63</v>
      </c>
      <c r="B68" s="296" t="inlineStr">
        <is>
          <t>Mental health / recovery; Health care; Financial capability</t>
        </is>
      </c>
      <c r="C68" s="296" t="inlineStr">
        <is>
          <t>McLeod Centers for Wellbeing</t>
        </is>
      </c>
      <c r="D68" s="296" t="inlineStr">
        <is>
          <t>No</t>
        </is>
      </c>
      <c r="E68" s="296" t="inlineStr">
        <is>
          <t>Core</t>
        </is>
      </c>
      <c r="F68" s="296" t="inlineStr">
        <is>
          <t>A young adult needs evidence-based substance-use treatment, including outpatient or medication-assisted care.</t>
        </is>
      </c>
      <c r="G68" s="296" t="inlineStr">
        <is>
          <t>Adolescents/adults depending on program; clinical and payer criteria apply.</t>
        </is>
      </c>
      <c r="H68" s="296" t="inlineStr">
        <is>
          <t>Substance-use assessment and treatment across multiple levels of care.</t>
        </is>
      </c>
      <c r="I68" s="296" t="inlineStr">
        <is>
          <t>Call for screening and the appropriate Charlotte-area program.</t>
        </is>
      </c>
      <c r="J68" s="296" t="inlineStr">
        <is>
          <t>704-332-9001</t>
        </is>
      </c>
      <c r="K68" s="296" t="inlineStr">
        <is>
          <t>Charlotte / regional.</t>
        </is>
      </c>
      <c r="L68" s="296" t="inlineStr">
        <is>
          <t>Program openings, insurance and medication-treatment criteria vary.</t>
        </is>
      </c>
      <c r="M68" s="296" t="inlineStr">
        <is>
          <t>https://www.mcleodcenters.org/</t>
        </is>
      </c>
      <c r="N68" s="328" t="n">
        <v>46239</v>
      </c>
      <c r="O68" s="296" t="inlineStr">
        <is>
          <t>Not contacted</t>
        </is>
      </c>
      <c r="P68" s="296" t="str"/>
      <c r="Q68" s="296" t="inlineStr">
        <is>
          <t>Charlotte / Mecklenburg</t>
        </is>
      </c>
      <c r="R68" s="296" t="inlineStr">
        <is>
          <t>Charlotte / Mecklenburg</t>
        </is>
      </c>
      <c r="S68" s="296" t="inlineStr">
        <is>
          <t>Located in or serving the requested roughly 30-mile Charlotte search area.</t>
        </is>
      </c>
      <c r="T68" s="219" t="n"/>
      <c r="U68" s="219" t="n"/>
      <c r="V68" s="221" t="n"/>
      <c r="W68" s="52" t="n"/>
      <c r="X68" s="52" t="n"/>
      <c r="Y68" s="52" t="n"/>
      <c r="Z68" s="52" t="n"/>
    </row>
    <row r="69" ht="72" customHeight="1" s="188">
      <c r="A69" s="296" t="n">
        <v>64</v>
      </c>
      <c r="B69" s="296" t="inlineStr">
        <is>
          <t>Housing / homelessness; Mental health / recovery; Mentorship; Community / belonging</t>
        </is>
      </c>
      <c r="C69" s="296" t="inlineStr">
        <is>
          <t>Time Out Youth — Counseling and Support</t>
        </is>
      </c>
      <c r="D69" s="296" t="inlineStr">
        <is>
          <t>No</t>
        </is>
      </c>
      <c r="E69" s="296" t="inlineStr">
        <is>
          <t>Specialized</t>
        </is>
      </c>
      <c r="F69" s="296" t="inlineStr">
        <is>
          <t>An LGBTQ+ youth or young adult needs affirming counseling, groups, case support or community.</t>
        </is>
      </c>
      <c r="G69" s="296" t="inlineStr">
        <is>
          <t>LGBTQ+ youth and young adults; age range varies by service, generally through age 24.</t>
        </is>
      </c>
      <c r="H69" s="296" t="inlineStr">
        <is>
          <t>Free/low-cost counseling, support groups, case management, community and practical services.</t>
        </is>
      </c>
      <c r="I69" s="296" t="inlineStr">
        <is>
          <t>Contact Time Out Youth for intake and the current service calendar.</t>
        </is>
      </c>
      <c r="J69" s="296" t="str"/>
      <c r="K69" s="296" t="inlineStr">
        <is>
          <t>Charlotte / regional.</t>
        </is>
      </c>
      <c r="L69" s="296" t="inlineStr">
        <is>
          <t>Not every service is available to every age; housing and therapy may have separate waitlists.</t>
        </is>
      </c>
      <c r="M69" s="296" t="inlineStr">
        <is>
          <t>https://timeoutyouth.org/services/</t>
        </is>
      </c>
      <c r="N69" s="328" t="n">
        <v>46239</v>
      </c>
      <c r="O69" s="296" t="inlineStr">
        <is>
          <t>Not contacted</t>
        </is>
      </c>
      <c r="P69" s="296" t="str"/>
      <c r="Q69" s="296" t="inlineStr">
        <is>
          <t>Charlotte / Mecklenburg</t>
        </is>
      </c>
      <c r="R69" s="296" t="inlineStr">
        <is>
          <t>Charlotte / Mecklenburg</t>
        </is>
      </c>
      <c r="S69" s="296" t="inlineStr">
        <is>
          <t>Located in or serving the requested roughly 30-mile Charlotte search area.</t>
        </is>
      </c>
      <c r="T69" s="219" t="n"/>
      <c r="U69" s="219" t="n"/>
      <c r="V69" s="221" t="n"/>
      <c r="W69" s="52" t="n"/>
      <c r="X69" s="52" t="n"/>
      <c r="Y69" s="52" t="n"/>
      <c r="Z69" s="52" t="n"/>
    </row>
    <row r="70" ht="72" customHeight="1" s="188">
      <c r="A70" s="296" t="n">
        <v>65</v>
      </c>
      <c r="B70" s="296" t="inlineStr">
        <is>
          <t>Employment / workforce; Education; Mentorship; Soft skills / life skills</t>
        </is>
      </c>
      <c r="C70" s="296" t="inlineStr">
        <is>
          <t>NCWorks NextGen — Charlotte Works</t>
        </is>
      </c>
      <c r="D70" s="296" t="inlineStr">
        <is>
          <t>No</t>
        </is>
      </c>
      <c r="E70" s="296" t="inlineStr">
        <is>
          <t>Core</t>
        </is>
      </c>
      <c r="F70" s="296" t="inlineStr">
        <is>
          <t>A young adult needs career coaching, paid work experience, training or help overcoming barriers to employment.</t>
        </is>
      </c>
      <c r="G70" s="296" t="inlineStr">
        <is>
          <t>Generally ages 16–24 with one or more employment/education barriers; program eligibility applies.</t>
        </is>
      </c>
      <c r="H70" s="296" t="inlineStr">
        <is>
          <t>No-cost career planning, training, credentials, supportive services and work-based learning.</t>
        </is>
      </c>
      <c r="I70" s="296" t="inlineStr">
        <is>
          <t>Complete a NextGen interest/intake form through Charlotte Works or Central Piedmont.</t>
        </is>
      </c>
      <c r="J70" s="296" t="str"/>
      <c r="K70" s="296" t="inlineStr">
        <is>
          <t>Charlotte / Mecklenburg County.</t>
        </is>
      </c>
      <c r="L70" s="296" t="inlineStr">
        <is>
          <t>Eligibility and funding-supported services require documentation; enrollment is not instant.</t>
        </is>
      </c>
      <c r="M70" s="296" t="inlineStr">
        <is>
          <t>https://www.charlotteworks.com/services/youth-young-adults/</t>
        </is>
      </c>
      <c r="N70" s="328" t="n">
        <v>46239</v>
      </c>
      <c r="O70" s="296" t="inlineStr">
        <is>
          <t>Not contacted</t>
        </is>
      </c>
      <c r="P70" s="296" t="str"/>
      <c r="Q70" s="296" t="inlineStr">
        <is>
          <t>Charlotte / Mecklenburg</t>
        </is>
      </c>
      <c r="R70" s="296" t="inlineStr">
        <is>
          <t>Charlotte / Mecklenburg</t>
        </is>
      </c>
      <c r="S70" s="296" t="inlineStr">
        <is>
          <t>Located in or serving the requested roughly 30-mile Charlotte search area.</t>
        </is>
      </c>
      <c r="T70" s="219" t="n"/>
      <c r="U70" s="219" t="n"/>
      <c r="V70" s="221" t="n"/>
      <c r="W70" s="52" t="n"/>
      <c r="X70" s="52" t="n"/>
      <c r="Y70" s="52" t="n"/>
      <c r="Z70" s="52" t="n"/>
    </row>
    <row r="71" ht="72" customHeight="1" s="188">
      <c r="A71" s="296" t="n">
        <v>66</v>
      </c>
      <c r="B71" s="296" t="inlineStr">
        <is>
          <t>Employment / workforce; Education; Soft skills / life skills</t>
        </is>
      </c>
      <c r="C71" s="296" t="inlineStr">
        <is>
          <t>NCWorks Career Centers — Charlotte Works</t>
        </is>
      </c>
      <c r="D71" s="296" t="inlineStr">
        <is>
          <t>No</t>
        </is>
      </c>
      <c r="E71" s="296" t="inlineStr">
        <is>
          <t>Core</t>
        </is>
      </c>
      <c r="F71" s="296" t="inlineStr">
        <is>
          <t>Any job seeker needs resume help, job-search support, workshops or connection to employers.</t>
        </is>
      </c>
      <c r="G71" s="296" t="inlineStr">
        <is>
          <t>Job seekers; some funded training programs have additional eligibility.</t>
        </is>
      </c>
      <c r="H71" s="296" t="inlineStr">
        <is>
          <t>Free career-center services, computers, workshops, job matching and training navigation.</t>
        </is>
      </c>
      <c r="I71" s="296" t="inlineStr">
        <is>
          <t>Visit or contact a local NCWorks Career Center.</t>
        </is>
      </c>
      <c r="J71" s="296" t="str"/>
      <c r="K71" s="296" t="inlineStr">
        <is>
          <t>Charlotte / Mecklenburg County.</t>
        </is>
      </c>
      <c r="L71" s="296" t="inlineStr">
        <is>
          <t>Training funds and program slots are limited; general career services remain free.</t>
        </is>
      </c>
      <c r="M71" s="296" t="inlineStr">
        <is>
          <t>https://www.charlotteworks.com/services/career-services/</t>
        </is>
      </c>
      <c r="N71" s="328" t="n">
        <v>46239</v>
      </c>
      <c r="O71" s="296" t="inlineStr">
        <is>
          <t>Not contacted</t>
        </is>
      </c>
      <c r="P71" s="296" t="str"/>
      <c r="Q71" s="296" t="inlineStr">
        <is>
          <t>Charlotte / Mecklenburg</t>
        </is>
      </c>
      <c r="R71" s="296" t="inlineStr">
        <is>
          <t>Charlotte / Mecklenburg</t>
        </is>
      </c>
      <c r="S71" s="296" t="inlineStr">
        <is>
          <t>Located in or serving the requested roughly 30-mile Charlotte search area.</t>
        </is>
      </c>
      <c r="T71" s="219" t="n"/>
      <c r="U71" s="219" t="n"/>
      <c r="V71" s="221" t="n"/>
      <c r="W71" s="52" t="n"/>
      <c r="X71" s="52" t="n"/>
      <c r="Y71" s="52" t="n"/>
      <c r="Z71" s="52" t="n"/>
    </row>
    <row r="72" ht="72" customHeight="1" s="188">
      <c r="A72" s="296" t="n">
        <v>67</v>
      </c>
      <c r="B72" s="296" t="inlineStr">
        <is>
          <t>Health care; Employment / workforce; Education; Soft skills / life skills</t>
        </is>
      </c>
      <c r="C72" s="296" t="inlineStr">
        <is>
          <t>Central Piedmont — Finish High School (GED/HiSET)</t>
        </is>
      </c>
      <c r="D72" s="296" t="inlineStr">
        <is>
          <t>No</t>
        </is>
      </c>
      <c r="E72" s="296" t="inlineStr">
        <is>
          <t>Core</t>
        </is>
      </c>
      <c r="F72" s="296" t="inlineStr">
        <is>
          <t>A young adult needs a high-school equivalency credential.</t>
        </is>
      </c>
      <c r="G72" s="296" t="inlineStr">
        <is>
          <t>Adults and eligible minors under program rules; placement/orientation requirements apply.</t>
        </is>
      </c>
      <c r="H72" s="296" t="inlineStr">
        <is>
          <t>Free preparation classes for GED or HiSET and adult high-school options.</t>
        </is>
      </c>
      <c r="I72" s="296" t="inlineStr">
        <is>
          <t>Complete the Central Piedmont orientation/enrollment steps.</t>
        </is>
      </c>
      <c r="J72" s="296" t="str"/>
      <c r="K72" s="296" t="inlineStr">
        <is>
          <t>Central Piedmont campuses / online options.</t>
        </is>
      </c>
      <c r="L72" s="296" t="inlineStr">
        <is>
          <t>Testing fees and class schedules may vary even when instruction is free.</t>
        </is>
      </c>
      <c r="M72" s="296" t="inlineStr">
        <is>
          <t>https://www.cpcc.edu/programs/finish-high-school</t>
        </is>
      </c>
      <c r="N72" s="328" t="n">
        <v>46239</v>
      </c>
      <c r="O72" s="296" t="inlineStr">
        <is>
          <t>Not contacted</t>
        </is>
      </c>
      <c r="P72" s="296" t="str"/>
      <c r="Q72" s="296" t="inlineStr">
        <is>
          <t>Charlotte / Mecklenburg</t>
        </is>
      </c>
      <c r="R72" s="296" t="inlineStr">
        <is>
          <t>Charlotte / Mecklenburg</t>
        </is>
      </c>
      <c r="S72" s="296" t="inlineStr">
        <is>
          <t>Located in or serving the requested roughly 30-mile Charlotte search area.</t>
        </is>
      </c>
      <c r="T72" s="219" t="n"/>
      <c r="U72" s="219" t="n"/>
      <c r="V72" s="221" t="n"/>
      <c r="W72" s="52" t="n"/>
      <c r="X72" s="52" t="n"/>
      <c r="Y72" s="52" t="n"/>
      <c r="Z72" s="52" t="n"/>
    </row>
    <row r="73" ht="72" customHeight="1" s="188">
      <c r="A73" s="296" t="n">
        <v>68</v>
      </c>
      <c r="B73" s="296" t="inlineStr">
        <is>
          <t>Employment / workforce; Education; Soft skills / life skills; Transportation</t>
        </is>
      </c>
      <c r="C73" s="296" t="inlineStr">
        <is>
          <t>Central Piedmont — College and Career Readiness</t>
        </is>
      </c>
      <c r="D73" s="296" t="inlineStr">
        <is>
          <t>No</t>
        </is>
      </c>
      <c r="E73" s="296" t="inlineStr">
        <is>
          <t>Core</t>
        </is>
      </c>
      <c r="F73" s="296" t="inlineStr">
        <is>
          <t>A young adult needs foundational academic, English-language, adult high-school or transition-to-college support.</t>
        </is>
      </c>
      <c r="G73" s="296" t="inlineStr">
        <is>
          <t>Program-specific eligibility and placement requirements.</t>
        </is>
      </c>
      <c r="H73" s="296" t="inlineStr">
        <is>
          <t>Adult education, English-language learning, high-school completion and career/college transition.</t>
        </is>
      </c>
      <c r="I73" s="296" t="inlineStr">
        <is>
          <t>Follow Central Piedmont's CCR enrollment process.</t>
        </is>
      </c>
      <c r="J73" s="296" t="str"/>
      <c r="K73" s="296" t="inlineStr">
        <is>
          <t>Mecklenburg County.</t>
        </is>
      </c>
      <c r="L73" s="296" t="inlineStr">
        <is>
          <t>Course locations, formats and start dates vary.</t>
        </is>
      </c>
      <c r="M73" s="296" t="inlineStr">
        <is>
          <t>https://www.cpcc.edu/admissions/enroll/college-and-career-readiness</t>
        </is>
      </c>
      <c r="N73" s="328" t="n">
        <v>46239</v>
      </c>
      <c r="O73" s="296" t="inlineStr">
        <is>
          <t>Not contacted</t>
        </is>
      </c>
      <c r="P73" s="296" t="str"/>
      <c r="Q73" s="296" t="inlineStr">
        <is>
          <t>Charlotte / Mecklenburg</t>
        </is>
      </c>
      <c r="R73" s="296" t="inlineStr">
        <is>
          <t>Charlotte / Mecklenburg</t>
        </is>
      </c>
      <c r="S73" s="296" t="inlineStr">
        <is>
          <t>Located in or serving the requested roughly 30-mile Charlotte search area.</t>
        </is>
      </c>
      <c r="T73" s="219" t="n"/>
      <c r="U73" s="219" t="n"/>
      <c r="V73" s="221" t="n"/>
      <c r="W73" s="52" t="n"/>
      <c r="X73" s="52" t="n"/>
      <c r="Y73" s="52" t="n"/>
      <c r="Z73" s="52" t="n"/>
    </row>
    <row r="74" ht="72" customHeight="1" s="188">
      <c r="A74" s="296" t="n">
        <v>69</v>
      </c>
      <c r="B74" s="296" t="inlineStr">
        <is>
          <t>Employment / workforce; Education; Soft skills / life skills; Financial capability</t>
        </is>
      </c>
      <c r="C74" s="296" t="inlineStr">
        <is>
          <t>Goodwill Industries of the Southern Piedmont — Charlotte Career Center</t>
        </is>
      </c>
      <c r="D74" s="296" t="inlineStr">
        <is>
          <t>No</t>
        </is>
      </c>
      <c r="E74" s="296" t="inlineStr">
        <is>
          <t>Core</t>
        </is>
      </c>
      <c r="F74" s="296" t="inlineStr">
        <is>
          <t>A young adult needs hands-on job search help, computer access, training enrollment or career coaching.</t>
        </is>
      </c>
      <c r="G74" s="296" t="inlineStr">
        <is>
          <t>Open career-center services; individual training programs have separate criteria.</t>
        </is>
      </c>
      <c r="H74" s="296" t="inlineStr">
        <is>
          <t>Career coaching, resume and job-search help, digital-skills support, free skill-building workshops and access to tuition-free occupational training through Goodwill's training programs.</t>
        </is>
      </c>
      <c r="I74" s="296" t="inlineStr">
        <is>
          <t>Visit the Charlotte Career &amp; Employment Center to meet with a team member and review current workshops or training cohorts.</t>
        </is>
      </c>
      <c r="J74" s="296" t="str"/>
      <c r="K74" s="296" t="inlineStr">
        <is>
          <t>Charlotte.</t>
        </is>
      </c>
      <c r="L74" s="296" t="inlineStr">
        <is>
          <t>Course demand and enrollment windows vary.</t>
        </is>
      </c>
      <c r="M74" s="296" t="inlineStr">
        <is>
          <t>https://goodwillsp.org/job-career-services/</t>
        </is>
      </c>
      <c r="N74" s="328" t="n">
        <v>46239</v>
      </c>
      <c r="O74" s="296" t="inlineStr">
        <is>
          <t>Not contacted</t>
        </is>
      </c>
      <c r="P74" s="296" t="inlineStr">
        <is>
          <t>Reviewed against Charlotte Young Adult Resource Database and current official provider information.</t>
        </is>
      </c>
      <c r="Q74" s="296" t="inlineStr">
        <is>
          <t>Charlotte / Mecklenburg</t>
        </is>
      </c>
      <c r="R74" s="296" t="inlineStr">
        <is>
          <t>Charlotte / Mecklenburg</t>
        </is>
      </c>
      <c r="S74" s="296" t="inlineStr">
        <is>
          <t>Located in or serving the requested roughly 30-mile Charlotte search area.</t>
        </is>
      </c>
      <c r="T74" s="219" t="n"/>
      <c r="U74" s="219" t="n"/>
      <c r="V74" s="221" t="n"/>
      <c r="W74" s="52" t="n"/>
      <c r="X74" s="52" t="n"/>
      <c r="Y74" s="52" t="n"/>
      <c r="Z74" s="52" t="n"/>
    </row>
    <row r="75" ht="72" customHeight="1" s="188">
      <c r="A75" s="296" t="n">
        <v>70</v>
      </c>
      <c r="B75" s="296" t="inlineStr">
        <is>
          <t>Housing / homelessness; Health care; Employment / workforce; Education; Soft skills / life skills; Financial capability</t>
        </is>
      </c>
      <c r="C75" s="296" t="inlineStr">
        <is>
          <t>Urban League of Central Carolinas</t>
        </is>
      </c>
      <c r="D75" s="296" t="inlineStr">
        <is>
          <t>No</t>
        </is>
      </c>
      <c r="E75" s="296" t="inlineStr">
        <is>
          <t>Core</t>
        </is>
      </c>
      <c r="F75" s="296" t="inlineStr">
        <is>
          <t>A young adult wants no-cost occupational training and job placement support.</t>
        </is>
      </c>
      <c r="G75" s="296" t="inlineStr">
        <is>
          <t>Program-specific age, education and income criteria may apply.</t>
        </is>
      </c>
      <c r="H75" s="296" t="inlineStr">
        <is>
          <t>Training pathways including skilled trades, technology, customer service and healthcare-related programs.</t>
        </is>
      </c>
      <c r="I75" s="296" t="inlineStr">
        <is>
          <t>Contact the Urban League and request current program enrollment information.</t>
        </is>
      </c>
      <c r="J75" s="296" t="inlineStr">
        <is>
          <t>704-373-2256</t>
        </is>
      </c>
      <c r="K75" s="296" t="inlineStr">
        <is>
          <t>740 W. 5th St., Charlotte, NC 28202.</t>
        </is>
      </c>
      <c r="L75" s="296" t="inlineStr">
        <is>
          <t>Course offerings, prerequisites and cohorts change.</t>
        </is>
      </c>
      <c r="M75" s="296" t="inlineStr">
        <is>
          <t>https://www.urbanleaguecc.org/</t>
        </is>
      </c>
      <c r="N75" s="328" t="n">
        <v>46239</v>
      </c>
      <c r="O75" s="296" t="inlineStr">
        <is>
          <t>Not contacted</t>
        </is>
      </c>
      <c r="P75" s="296" t="str"/>
      <c r="Q75" s="296" t="inlineStr">
        <is>
          <t>Charlotte / Mecklenburg</t>
        </is>
      </c>
      <c r="R75" s="296" t="inlineStr">
        <is>
          <t>Charlotte / Mecklenburg</t>
        </is>
      </c>
      <c r="S75" s="296" t="inlineStr">
        <is>
          <t>Located in or serving the requested roughly 30-mile Charlotte search area.</t>
        </is>
      </c>
      <c r="T75" s="219" t="n"/>
      <c r="U75" s="219" t="n"/>
      <c r="V75" s="221" t="n"/>
      <c r="W75" s="52" t="n"/>
      <c r="X75" s="52" t="n"/>
      <c r="Y75" s="52" t="n"/>
      <c r="Z75" s="52" t="n"/>
    </row>
    <row r="76" ht="72" customHeight="1" s="188">
      <c r="A76" s="296" t="n">
        <v>71</v>
      </c>
      <c r="B76" s="296" t="inlineStr">
        <is>
          <t>Housing / homelessness; Employment / workforce; Education; Mentorship; Soft skills / life skills; Financial capability</t>
        </is>
      </c>
      <c r="C76" s="296" t="inlineStr">
        <is>
          <t>Road to Hire</t>
        </is>
      </c>
      <c r="D76" s="296" t="inlineStr">
        <is>
          <t>No</t>
        </is>
      </c>
      <c r="E76" s="296" t="inlineStr">
        <is>
          <t>Specialized</t>
        </is>
      </c>
      <c r="F76" s="296" t="inlineStr">
        <is>
          <t>A young adult wants paid training, mentorship and a pathway into a technical or professional career.</t>
        </is>
      </c>
      <c r="G76" s="296" t="inlineStr">
        <is>
          <t>Young adults meeting the current cohort's age, education and employment criteria.</t>
        </is>
      </c>
      <c r="H76" s="296" t="inlineStr">
        <is>
          <t>Paid training, professional development, mentorship and employer connections/apprenticeships.</t>
        </is>
      </c>
      <c r="I76" s="296" t="inlineStr">
        <is>
          <t>Review current programs and apply during an open cohort.</t>
        </is>
      </c>
      <c r="J76" s="296" t="str"/>
      <c r="K76" s="296" t="inlineStr">
        <is>
          <t>Charlotte region.</t>
        </is>
      </c>
      <c r="L76" s="296" t="inlineStr">
        <is>
          <t>Cohort eligibility and recruiting periods change; verify the current program before referring.</t>
        </is>
      </c>
      <c r="M76" s="296" t="inlineStr">
        <is>
          <t>https://www.roadtohire.org/our-programs</t>
        </is>
      </c>
      <c r="N76" s="328" t="n">
        <v>46239</v>
      </c>
      <c r="O76" s="296" t="inlineStr">
        <is>
          <t>Not contacted</t>
        </is>
      </c>
      <c r="P76" s="296" t="str"/>
      <c r="Q76" s="296" t="inlineStr">
        <is>
          <t>Charlotte / Mecklenburg</t>
        </is>
      </c>
      <c r="R76" s="296" t="inlineStr">
        <is>
          <t>Charlotte / Mecklenburg</t>
        </is>
      </c>
      <c r="S76" s="296" t="inlineStr">
        <is>
          <t>Located in or serving the requested roughly 30-mile Charlotte search area.</t>
        </is>
      </c>
      <c r="T76" s="219" t="n"/>
      <c r="U76" s="219" t="n"/>
      <c r="V76" s="221" t="n"/>
      <c r="W76" s="52" t="n"/>
      <c r="X76" s="52" t="n"/>
      <c r="Y76" s="52" t="n"/>
      <c r="Z76" s="52" t="n"/>
    </row>
    <row r="77" ht="72" customHeight="1" s="188">
      <c r="A77" s="296" t="n">
        <v>72</v>
      </c>
      <c r="B77" s="296" t="inlineStr">
        <is>
          <t>Housing / homelessness; Employment / workforce; Education; Mentorship; Soft skills / life skills; Financial capability</t>
        </is>
      </c>
      <c r="C77" s="296" t="inlineStr">
        <is>
          <t>Year Up United — Charlotte</t>
        </is>
      </c>
      <c r="D77" s="296" t="inlineStr">
        <is>
          <t>No</t>
        </is>
      </c>
      <c r="E77" s="296" t="inlineStr">
        <is>
          <t>Specialized</t>
        </is>
      </c>
      <c r="F77" s="296" t="inlineStr">
        <is>
          <t>A young adult wants structured job training, internship experience and employer access.</t>
        </is>
      </c>
      <c r="G77" s="296" t="inlineStr">
        <is>
          <t>Young adults meeting the Charlotte program's current age, education and work-authorization criteria.</t>
        </is>
      </c>
      <c r="H77" s="296" t="inlineStr">
        <is>
          <t>Career training, coaching, internship and job-placement support.</t>
        </is>
      </c>
      <c r="I77" s="296" t="inlineStr">
        <is>
          <t>Attend an information session and complete the application.</t>
        </is>
      </c>
      <c r="J77" s="296" t="str"/>
      <c r="K77" s="296" t="inlineStr">
        <is>
          <t>Charlotte.</t>
        </is>
      </c>
      <c r="L77" s="296" t="inlineStr">
        <is>
          <t>Cohorts are competitive and time-bound; confirm current age and enrollment criteria.</t>
        </is>
      </c>
      <c r="M77" s="296" t="inlineStr">
        <is>
          <t>https://www.yearup.org/locations/charlotte-nc</t>
        </is>
      </c>
      <c r="N77" s="328" t="n">
        <v>46239</v>
      </c>
      <c r="O77" s="296" t="inlineStr">
        <is>
          <t>Not contacted</t>
        </is>
      </c>
      <c r="P77" s="296" t="str"/>
      <c r="Q77" s="296" t="inlineStr">
        <is>
          <t>Charlotte / Mecklenburg</t>
        </is>
      </c>
      <c r="R77" s="296" t="inlineStr">
        <is>
          <t>Charlotte / Mecklenburg</t>
        </is>
      </c>
      <c r="S77" s="296" t="inlineStr">
        <is>
          <t>Located in or serving the requested roughly 30-mile Charlotte search area.</t>
        </is>
      </c>
      <c r="T77" s="219" t="n"/>
      <c r="U77" s="219" t="n"/>
      <c r="V77" s="221" t="n"/>
      <c r="W77" s="52" t="n"/>
      <c r="X77" s="52" t="n"/>
      <c r="Y77" s="52" t="n"/>
      <c r="Z77" s="52" t="n"/>
    </row>
    <row r="78" ht="72" customHeight="1" s="188">
      <c r="A78" s="296" t="n">
        <v>73</v>
      </c>
      <c r="B78" s="296" t="inlineStr">
        <is>
          <t>Employment / workforce; Education; Soft skills / life skills; Financial capability</t>
        </is>
      </c>
      <c r="C78" s="296" t="inlineStr">
        <is>
          <t>Mecklenburg County — More Than a Job NC</t>
        </is>
      </c>
      <c r="D78" s="296" t="inlineStr">
        <is>
          <t>No</t>
        </is>
      </c>
      <c r="E78" s="296" t="inlineStr">
        <is>
          <t>Backup</t>
        </is>
      </c>
      <c r="F78" s="296" t="inlineStr">
        <is>
          <t>the program needs a county-curated list of free job-driven training providers.</t>
        </is>
      </c>
      <c r="G78" s="296" t="inlineStr">
        <is>
          <t>Eligibility varies by partner program.</t>
        </is>
      </c>
      <c r="H78" s="296" t="inlineStr">
        <is>
          <t>Connections to free workforce training through partners such as Goodwill and Urban League.</t>
        </is>
      </c>
      <c r="I78" s="296" t="inlineStr">
        <is>
          <t>Review the listed partners and apply with the relevant training provider.</t>
        </is>
      </c>
      <c r="J78" s="296" t="str"/>
      <c r="K78" s="296" t="inlineStr">
        <is>
          <t>Mecklenburg County.</t>
        </is>
      </c>
      <c r="L78" s="296" t="inlineStr">
        <is>
          <t>This is a referral page, not a separate guaranteed-benefit program.</t>
        </is>
      </c>
      <c r="M78" s="296" t="inlineStr">
        <is>
          <t>https://dcr.mecknc.gov/employment/more-than-a-job</t>
        </is>
      </c>
      <c r="N78" s="328" t="n">
        <v>46239</v>
      </c>
      <c r="O78" s="296" t="inlineStr">
        <is>
          <t>Not contacted</t>
        </is>
      </c>
      <c r="P78" s="296" t="str"/>
      <c r="Q78" s="296" t="inlineStr">
        <is>
          <t>Charlotte / Mecklenburg</t>
        </is>
      </c>
      <c r="R78" s="296" t="inlineStr">
        <is>
          <t>Charlotte / Mecklenburg</t>
        </is>
      </c>
      <c r="S78" s="296" t="inlineStr">
        <is>
          <t>Located in or serving the requested roughly 30-mile Charlotte search area.</t>
        </is>
      </c>
      <c r="T78" s="219" t="n"/>
      <c r="U78" s="219" t="n"/>
      <c r="V78" s="221" t="n"/>
      <c r="W78" s="52" t="n"/>
      <c r="X78" s="52" t="n"/>
      <c r="Y78" s="52" t="n"/>
      <c r="Z78" s="52" t="n"/>
    </row>
    <row r="79" ht="72" customHeight="1" s="188">
      <c r="A79" s="296" t="n">
        <v>74</v>
      </c>
      <c r="B79" s="296" t="inlineStr">
        <is>
          <t>Health care; Mental health / recovery; Employment / workforce; Education; Financial capability; Disability support</t>
        </is>
      </c>
      <c r="C79" s="296" t="inlineStr">
        <is>
          <t>NC Employment and Independence for People with Disabilities (Vocational Rehabilitation)</t>
        </is>
      </c>
      <c r="D79" s="296" t="inlineStr">
        <is>
          <t>No</t>
        </is>
      </c>
      <c r="E79" s="296" t="inlineStr">
        <is>
          <t>Core</t>
        </is>
      </c>
      <c r="F79" s="296" t="inlineStr">
        <is>
          <t>A young adult with a disability needs help preparing for, obtaining or keeping employment.</t>
        </is>
      </c>
      <c r="G79" s="296" t="inlineStr">
        <is>
          <t>A physical, mental, intellectual or sensory disability that creates a substantial barrier to employment; formal eligibility assessment required.</t>
        </is>
      </c>
      <c r="H79" s="296" t="inlineStr">
        <is>
          <t>Vocational counseling, training, job placement, assistive support and independent-living services.</t>
        </is>
      </c>
      <c r="I79" s="296" t="inlineStr">
        <is>
          <t>Request services through the state EIPD office.</t>
        </is>
      </c>
      <c r="J79" s="296" t="str"/>
      <c r="K79" s="296" t="inlineStr">
        <is>
          <t>North Carolina / local offices.</t>
        </is>
      </c>
      <c r="L79" s="296" t="inlineStr">
        <is>
          <t>Eligibility and an individualized employment plan are required; services are not general cash assistance.</t>
        </is>
      </c>
      <c r="M79" s="296" t="inlineStr">
        <is>
          <t>https://www.ncdhhs.gov/eipd</t>
        </is>
      </c>
      <c r="N79" s="328" t="n">
        <v>46239</v>
      </c>
      <c r="O79" s="296" t="inlineStr">
        <is>
          <t>Not contacted</t>
        </is>
      </c>
      <c r="P79" s="296" t="str"/>
      <c r="Q79" s="296" t="inlineStr">
        <is>
          <t>Charlotte / Mecklenburg</t>
        </is>
      </c>
      <c r="R79" s="296" t="inlineStr">
        <is>
          <t>Charlotte / Mecklenburg</t>
        </is>
      </c>
      <c r="S79" s="296" t="inlineStr">
        <is>
          <t>Located in or serving the requested roughly 30-mile Charlotte search area.</t>
        </is>
      </c>
      <c r="T79" s="219" t="n"/>
      <c r="U79" s="219" t="n"/>
      <c r="V79" s="221" t="n"/>
      <c r="W79" s="52" t="n"/>
      <c r="X79" s="52" t="n"/>
      <c r="Y79" s="52" t="n"/>
      <c r="Z79" s="52" t="n"/>
    </row>
    <row r="80" ht="72" customHeight="1" s="188">
      <c r="A80" s="296" t="n">
        <v>75</v>
      </c>
      <c r="B80" s="296" t="inlineStr">
        <is>
          <t>Employment / workforce; Education</t>
        </is>
      </c>
      <c r="C80" s="296" t="inlineStr">
        <is>
          <t>Charlotte Mecklenburg Library — College &amp; Career Prep</t>
        </is>
      </c>
      <c r="D80" s="296" t="inlineStr">
        <is>
          <t>No</t>
        </is>
      </c>
      <c r="E80" s="296" t="inlineStr">
        <is>
          <t>Backup</t>
        </is>
      </c>
      <c r="F80" s="296" t="inlineStr">
        <is>
          <t>A young adult needs free online learning, resume tools, test preparation or library-based career resources.</t>
        </is>
      </c>
      <c r="G80" s="296" t="inlineStr">
        <is>
          <t>Library card/access requirements apply to some digital tools.</t>
        </is>
      </c>
      <c r="H80" s="296" t="inlineStr">
        <is>
          <t>Career, college, test-prep, technology and learning resources.</t>
        </is>
      </c>
      <c r="I80" s="296" t="inlineStr">
        <is>
          <t>Use the Digital Branch or ask a library staff member for help.</t>
        </is>
      </c>
      <c r="J80" s="296" t="str"/>
      <c r="K80" s="296" t="inlineStr">
        <is>
          <t>Charlotte / Mecklenburg County.</t>
        </is>
      </c>
      <c r="L80" s="296" t="inlineStr">
        <is>
          <t>Not a case-management or placement program; resource availability depends on library subscriptions.</t>
        </is>
      </c>
      <c r="M80" s="296" t="inlineStr">
        <is>
          <t>https://digitalbranch.cmlibrary.org/college-career-prep/</t>
        </is>
      </c>
      <c r="N80" s="328" t="n">
        <v>46239</v>
      </c>
      <c r="O80" s="296" t="inlineStr">
        <is>
          <t>Not contacted</t>
        </is>
      </c>
      <c r="P80" s="296" t="str"/>
      <c r="Q80" s="296" t="inlineStr">
        <is>
          <t>Charlotte / Mecklenburg</t>
        </is>
      </c>
      <c r="R80" s="296" t="inlineStr">
        <is>
          <t>Charlotte / Mecklenburg</t>
        </is>
      </c>
      <c r="S80" s="296" t="inlineStr">
        <is>
          <t>Located in or serving the requested roughly 30-mile Charlotte search area.</t>
        </is>
      </c>
      <c r="T80" s="219" t="n"/>
      <c r="U80" s="219" t="n"/>
      <c r="V80" s="221" t="n"/>
      <c r="W80" s="52" t="n"/>
      <c r="X80" s="52" t="n"/>
      <c r="Y80" s="52" t="n"/>
      <c r="Z80" s="52" t="n"/>
    </row>
    <row r="81" ht="72" customHeight="1" s="188">
      <c r="A81" s="296" t="n">
        <v>76</v>
      </c>
      <c r="B81" s="296" t="inlineStr">
        <is>
          <t>Housing / homelessness; Employment / workforce; Education; Soft skills / life skills; Financial capability</t>
        </is>
      </c>
      <c r="C81" s="296" t="inlineStr">
        <is>
          <t>Dress for Success Charlotte</t>
        </is>
      </c>
      <c r="D81" s="296" t="inlineStr">
        <is>
          <t>No</t>
        </is>
      </c>
      <c r="E81" s="296" t="inlineStr">
        <is>
          <t>Specialized</t>
        </is>
      </c>
      <c r="F81" s="296" t="inlineStr">
        <is>
          <t>A low-income woman needs interview clothing, a work wardrobe and job-readiness support.</t>
        </is>
      </c>
      <c r="G81" s="296" t="inlineStr">
        <is>
          <t>Women referred through partner agencies or meeting current intake rules.</t>
        </is>
      </c>
      <c r="H81" s="296" t="inlineStr">
        <is>
          <t>Interview/employment styling, career coaching, financial education and professional development.</t>
        </is>
      </c>
      <c r="I81" s="296" t="inlineStr">
        <is>
          <t>Request referral/intake instructions before visiting.</t>
        </is>
      </c>
      <c r="J81" s="296" t="str"/>
      <c r="K81" s="296" t="inlineStr">
        <is>
          <t>Charlotte.</t>
        </is>
      </c>
      <c r="L81" s="296" t="inlineStr">
        <is>
          <t>Services are designed for women and often require a referral appointment.</t>
        </is>
      </c>
      <c r="M81" s="296" t="inlineStr">
        <is>
          <t>https://charlotte.dressforsuccess.org/about-us/what-we-do/</t>
        </is>
      </c>
      <c r="N81" s="328" t="n">
        <v>46239</v>
      </c>
      <c r="O81" s="296" t="inlineStr">
        <is>
          <t>Not contacted</t>
        </is>
      </c>
      <c r="P81" s="296" t="str"/>
      <c r="Q81" s="296" t="inlineStr">
        <is>
          <t>Charlotte / Mecklenburg</t>
        </is>
      </c>
      <c r="R81" s="296" t="inlineStr">
        <is>
          <t>Charlotte / Mecklenburg</t>
        </is>
      </c>
      <c r="S81" s="296" t="inlineStr">
        <is>
          <t>Located in or serving the requested roughly 30-mile Charlotte search area.</t>
        </is>
      </c>
      <c r="T81" s="219" t="n"/>
      <c r="U81" s="219" t="n"/>
      <c r="V81" s="221" t="n"/>
      <c r="W81" s="52" t="n"/>
      <c r="X81" s="52" t="n"/>
      <c r="Y81" s="52" t="n"/>
      <c r="Z81" s="52" t="n"/>
    </row>
    <row r="82" ht="72" customHeight="1" s="188">
      <c r="A82" s="296" t="n">
        <v>77</v>
      </c>
      <c r="B82" s="296" t="inlineStr">
        <is>
          <t>Housing / homelessness; Food / essentials; Employment / workforce; Education; Transportation; Legal / identity / safety</t>
        </is>
      </c>
      <c r="C82" s="296" t="inlineStr">
        <is>
          <t>UNC Charlotte Niner Needs</t>
        </is>
      </c>
      <c r="D82" s="296" t="inlineStr">
        <is>
          <t>No</t>
        </is>
      </c>
      <c r="E82" s="296" t="inlineStr">
        <is>
          <t>Specialized</t>
        </is>
      </c>
      <c r="F82" s="296" t="inlineStr">
        <is>
          <t>A currently enrolled UNC Charlotte student needs food, housing, transportation, technology, legal or emergency support.</t>
        </is>
      </c>
      <c r="G82" s="296" t="inlineStr">
        <is>
          <t>Current UNC Charlotte students; each support has its own criteria.</t>
        </is>
      </c>
      <c r="H82" s="296" t="inlineStr">
        <is>
          <t>Campus basic-needs navigation and emergency-support resources.</t>
        </is>
      </c>
      <c r="I82" s="296" t="inlineStr">
        <is>
          <t>Use the Niner Needs site and contact the relevant campus office.</t>
        </is>
      </c>
      <c r="J82" s="296" t="str"/>
      <c r="K82" s="296" t="inlineStr">
        <is>
          <t>UNC Charlotte.</t>
        </is>
      </c>
      <c r="L82" s="296" t="inlineStr">
        <is>
          <t>Only useful for enrolled students; emergency funds and services are limited.</t>
        </is>
      </c>
      <c r="M82" s="296" t="inlineStr">
        <is>
          <t>https://ninerneeds.charlotte.edu/</t>
        </is>
      </c>
      <c r="N82" s="328" t="n">
        <v>46239</v>
      </c>
      <c r="O82" s="296" t="inlineStr">
        <is>
          <t>Not contacted</t>
        </is>
      </c>
      <c r="P82" s="296" t="str"/>
      <c r="Q82" s="296" t="inlineStr">
        <is>
          <t>Charlotte / Mecklenburg</t>
        </is>
      </c>
      <c r="R82" s="296" t="inlineStr">
        <is>
          <t>Charlotte / Mecklenburg</t>
        </is>
      </c>
      <c r="S82" s="296" t="inlineStr">
        <is>
          <t>Located in or serving the requested roughly 30-mile Charlotte search area.</t>
        </is>
      </c>
      <c r="T82" s="219" t="n"/>
      <c r="U82" s="219" t="n"/>
      <c r="V82" s="221" t="n"/>
      <c r="W82" s="52" t="n"/>
      <c r="X82" s="52" t="n"/>
      <c r="Y82" s="52" t="n"/>
      <c r="Z82" s="52" t="n"/>
    </row>
    <row r="83" ht="72" customHeight="1" s="188">
      <c r="A83" s="296" t="n">
        <v>78</v>
      </c>
      <c r="B83" s="296" t="inlineStr">
        <is>
          <t>Transportation; Housing / homelessness; Soft skills / life skills</t>
        </is>
      </c>
      <c r="C83" s="296" t="inlineStr">
        <is>
          <t>CATS Fares and Passes</t>
        </is>
      </c>
      <c r="D83" s="296" t="inlineStr">
        <is>
          <t>No</t>
        </is>
      </c>
      <c r="E83" s="296" t="inlineStr">
        <is>
          <t>Core</t>
        </is>
      </c>
      <c r="F83" s="296" t="inlineStr">
        <is>
          <t>A young adult needs to compare daily fares, passes and transit payment options.</t>
        </is>
      </c>
      <c r="G83" s="296" t="inlineStr">
        <is>
          <t>Public transit riders.</t>
        </is>
      </c>
      <c r="H83" s="296" t="inlineStr">
        <is>
          <t>Bus and light-rail fare information, passes and payment guidance.</t>
        </is>
      </c>
      <c r="I83" s="296" t="inlineStr">
        <is>
          <t>Use the official fare page and the current CATS payment method.</t>
        </is>
      </c>
      <c r="J83" s="296" t="str"/>
      <c r="K83" s="296" t="inlineStr">
        <is>
          <t>Charlotte / Mecklenburg transit service area.</t>
        </is>
      </c>
      <c r="L83" s="296" t="inlineStr">
        <is>
          <t>Fares and pass products can change; verify before budgeting.</t>
        </is>
      </c>
      <c r="M83" s="296" t="inlineStr">
        <is>
          <t>https://www.charlottenc.gov/CATS/Fares-Passes</t>
        </is>
      </c>
      <c r="N83" s="328" t="n">
        <v>46239</v>
      </c>
      <c r="O83" s="296" t="inlineStr">
        <is>
          <t>Not contacted</t>
        </is>
      </c>
      <c r="P83" s="296" t="str"/>
      <c r="Q83" s="296" t="inlineStr">
        <is>
          <t>Charlotte / Mecklenburg</t>
        </is>
      </c>
      <c r="R83" s="296" t="inlineStr">
        <is>
          <t>Charlotte / Mecklenburg</t>
        </is>
      </c>
      <c r="S83" s="296" t="inlineStr">
        <is>
          <t>Located in or serving the requested roughly 30-mile Charlotte search area.</t>
        </is>
      </c>
      <c r="T83" s="219" t="n"/>
      <c r="U83" s="219" t="n"/>
      <c r="V83" s="221" t="n"/>
      <c r="W83" s="52" t="n"/>
      <c r="X83" s="52" t="n"/>
      <c r="Y83" s="52" t="n"/>
      <c r="Z83" s="52" t="n"/>
    </row>
    <row r="84" ht="72" customHeight="1" s="188">
      <c r="A84" s="296" t="n">
        <v>79</v>
      </c>
      <c r="B84" s="296" t="inlineStr">
        <is>
          <t>Transportation; Housing / homelessness; Financial capability; Disability support</t>
        </is>
      </c>
      <c r="C84" s="296" t="inlineStr">
        <is>
          <t>CATS Reduced Fare Transit IDs</t>
        </is>
      </c>
      <c r="D84" s="296" t="inlineStr">
        <is>
          <t>No</t>
        </is>
      </c>
      <c r="E84" s="296" t="inlineStr">
        <is>
          <t>Specialized</t>
        </is>
      </c>
      <c r="F84" s="296" t="inlineStr">
        <is>
          <t>A rider with a qualifying disability, Medicare status or student category may be eligible for reduced fares.</t>
        </is>
      </c>
      <c r="G84" s="296" t="inlineStr">
        <is>
          <t>Qualifying riders under current CATS rules; documentation required.</t>
        </is>
      </c>
      <c r="H84" s="296" t="inlineStr">
        <is>
          <t>Reduced-fare identification and discounted transit fares.</t>
        </is>
      </c>
      <c r="I84" s="296" t="inlineStr">
        <is>
          <t>Review documentation and apply for the appropriate Transit ID.</t>
        </is>
      </c>
      <c r="J84" s="296" t="str"/>
      <c r="K84" s="296" t="inlineStr">
        <is>
          <t>Charlotte / Mecklenburg transit service area.</t>
        </is>
      </c>
      <c r="L84" s="296" t="inlineStr">
        <is>
          <t>Not all low-income adults qualify; approval is category-based.</t>
        </is>
      </c>
      <c r="M84" s="296" t="inlineStr">
        <is>
          <t>https://www.charlottenc.gov/CATS/Fares-Passes/Transit-IDs</t>
        </is>
      </c>
      <c r="N84" s="328" t="n">
        <v>46239</v>
      </c>
      <c r="O84" s="296" t="inlineStr">
        <is>
          <t>Not contacted</t>
        </is>
      </c>
      <c r="P84" s="296" t="str"/>
      <c r="Q84" s="296" t="inlineStr">
        <is>
          <t>Charlotte / Mecklenburg</t>
        </is>
      </c>
      <c r="R84" s="296" t="inlineStr">
        <is>
          <t>Charlotte / Mecklenburg</t>
        </is>
      </c>
      <c r="S84" s="296" t="inlineStr">
        <is>
          <t>Located in or serving the requested roughly 30-mile Charlotte search area.</t>
        </is>
      </c>
      <c r="T84" s="219" t="n"/>
      <c r="U84" s="219" t="n"/>
      <c r="V84" s="221" t="n"/>
      <c r="W84" s="52" t="n"/>
      <c r="X84" s="52" t="n"/>
      <c r="Y84" s="52" t="n"/>
      <c r="Z84" s="52" t="n"/>
    </row>
    <row r="85" ht="72" customHeight="1" s="188">
      <c r="A85" s="296" t="n">
        <v>80</v>
      </c>
      <c r="B85" s="296" t="inlineStr">
        <is>
          <t>Transportation; Health care; Disability support</t>
        </is>
      </c>
      <c r="C85" s="296" t="inlineStr">
        <is>
          <t>Mecklenburg Transportation System (MTS)</t>
        </is>
      </c>
      <c r="D85" s="296" t="inlineStr">
        <is>
          <t>No</t>
        </is>
      </c>
      <c r="E85" s="296" t="inlineStr">
        <is>
          <t>Specialized</t>
        </is>
      </c>
      <c r="F85" s="296" t="inlineStr">
        <is>
          <t>An eligible resident needs non-emergency medical or human-services transportation.</t>
        </is>
      </c>
      <c r="G85" s="296" t="inlineStr">
        <is>
          <t>Medicaid beneficiaries and other qualifying residents based on age, disability or program status.</t>
        </is>
      </c>
      <c r="H85" s="296" t="inlineStr">
        <is>
          <t>Scheduled non-emergency medical and eligible general transportation.</t>
        </is>
      </c>
      <c r="I85" s="296" t="inlineStr">
        <is>
          <t>Call for eligibility and trip scheduling; Medicaid members may also need health-plan authorization.</t>
        </is>
      </c>
      <c r="J85" s="296" t="inlineStr">
        <is>
          <t>704-336-4547</t>
        </is>
      </c>
      <c r="K85" s="296" t="inlineStr">
        <is>
          <t>Mecklenburg County.</t>
        </is>
      </c>
      <c r="L85" s="296" t="inlineStr">
        <is>
          <t>Advance scheduling and eligibility verification are required; not an on-demand ride service.</t>
        </is>
      </c>
      <c r="M85" s="296" t="inlineStr">
        <is>
          <t>https://cfas.mecknc.gov/services/mecklenburg-transportation-system</t>
        </is>
      </c>
      <c r="N85" s="328" t="n">
        <v>46239</v>
      </c>
      <c r="O85" s="296" t="inlineStr">
        <is>
          <t>Not contacted</t>
        </is>
      </c>
      <c r="P85" s="296" t="str"/>
      <c r="Q85" s="296" t="inlineStr">
        <is>
          <t>Charlotte / Mecklenburg</t>
        </is>
      </c>
      <c r="R85" s="296" t="inlineStr">
        <is>
          <t>Charlotte / Mecklenburg</t>
        </is>
      </c>
      <c r="S85" s="296" t="inlineStr">
        <is>
          <t>Located in or serving the requested roughly 30-mile Charlotte search area.</t>
        </is>
      </c>
      <c r="T85" s="219" t="n"/>
      <c r="U85" s="219" t="n"/>
      <c r="V85" s="221" t="n"/>
      <c r="W85" s="52" t="n"/>
      <c r="X85" s="52" t="n"/>
      <c r="Y85" s="52" t="n"/>
      <c r="Z85" s="52" t="n"/>
    </row>
    <row r="86" ht="72" customHeight="1" s="188">
      <c r="A86" s="296" t="n">
        <v>81</v>
      </c>
      <c r="B86" s="296" t="inlineStr">
        <is>
          <t>Legal / identity / safety; Housing / homelessness; Health care; Financial capability</t>
        </is>
      </c>
      <c r="C86" s="296" t="inlineStr">
        <is>
          <t>Charlotte Center for Legal Advocacy</t>
        </is>
      </c>
      <c r="D86" s="296" t="inlineStr">
        <is>
          <t>No</t>
        </is>
      </c>
      <c r="E86" s="296" t="inlineStr">
        <is>
          <t>Core</t>
        </is>
      </c>
      <c r="F86" s="296" t="inlineStr">
        <is>
          <t>A low-income young adult needs civil legal help involving benefits, housing, health care, immigration, taxes or expunction.</t>
        </is>
      </c>
      <c r="G86" s="296" t="inlineStr">
        <is>
          <t>Low-income residents and issue-specific service criteria.</t>
        </is>
      </c>
      <c r="H86" s="296" t="inlineStr">
        <is>
          <t>Free civil legal advocacy, advice and representation in selected matters.</t>
        </is>
      </c>
      <c r="I86" s="296" t="inlineStr">
        <is>
          <t>Call the intake line or use Get Help; Spanish intake is available.</t>
        </is>
      </c>
      <c r="J86" s="296" t="inlineStr">
        <is>
          <t>704-376-1600 / Spanish 800-247-1931</t>
        </is>
      </c>
      <c r="K86" s="296" t="inlineStr">
        <is>
          <t>Charlotte / regional.</t>
        </is>
      </c>
      <c r="L86" s="296" t="inlineStr">
        <is>
          <t>The organization cannot accept every case; legal deadlines continue while intake is pending.</t>
        </is>
      </c>
      <c r="M86" s="296" t="inlineStr">
        <is>
          <t>https://charlottelegaladvocacy.org/get-help/</t>
        </is>
      </c>
      <c r="N86" s="328" t="n">
        <v>46239</v>
      </c>
      <c r="O86" s="296" t="inlineStr">
        <is>
          <t>Not contacted</t>
        </is>
      </c>
      <c r="P86" s="296" t="str"/>
      <c r="Q86" s="296" t="inlineStr">
        <is>
          <t>Charlotte / Mecklenburg</t>
        </is>
      </c>
      <c r="R86" s="296" t="inlineStr">
        <is>
          <t>Charlotte / Mecklenburg</t>
        </is>
      </c>
      <c r="S86" s="296" t="inlineStr">
        <is>
          <t>Located in or serving the requested roughly 30-mile Charlotte search area.</t>
        </is>
      </c>
      <c r="T86" s="219" t="n"/>
      <c r="U86" s="219" t="n"/>
      <c r="V86" s="221" t="n"/>
      <c r="W86" s="52" t="n"/>
      <c r="X86" s="52" t="n"/>
      <c r="Y86" s="52" t="n"/>
      <c r="Z86" s="52" t="n"/>
    </row>
    <row r="87" ht="72" customHeight="1" s="188">
      <c r="A87" s="296" t="n">
        <v>82</v>
      </c>
      <c r="B87" s="296" t="inlineStr">
        <is>
          <t>Legal / identity / safety; Housing / homelessness; Health care; Financial capability</t>
        </is>
      </c>
      <c r="C87" s="296" t="inlineStr">
        <is>
          <t>Legal Aid of North Carolina</t>
        </is>
      </c>
      <c r="D87" s="296" t="inlineStr">
        <is>
          <t>No</t>
        </is>
      </c>
      <c r="E87" s="296" t="inlineStr">
        <is>
          <t>Core</t>
        </is>
      </c>
      <c r="F87" s="296" t="inlineStr">
        <is>
          <t>A low-income young adult needs help with eviction, domestic violence, consumer issues, benefits or another civil legal problem.</t>
        </is>
      </c>
      <c r="G87" s="296" t="inlineStr">
        <is>
          <t>Low-income North Carolina residents; issue and conflict screening apply.</t>
        </is>
      </c>
      <c r="H87" s="296" t="inlineStr">
        <is>
          <t>Free civil legal information, advice and representation in eligible cases.</t>
        </is>
      </c>
      <c r="I87" s="296" t="inlineStr">
        <is>
          <t>Apply online or call the statewide helpline.</t>
        </is>
      </c>
      <c r="J87" s="296" t="inlineStr">
        <is>
          <t>1-866-219-5262</t>
        </is>
      </c>
      <c r="K87" s="296" t="inlineStr">
        <is>
          <t>North Carolina; Charlotte office/service area.</t>
        </is>
      </c>
      <c r="L87" s="296" t="inlineStr">
        <is>
          <t>High demand means not every eligible applicant receives representation.</t>
        </is>
      </c>
      <c r="M87" s="296" t="inlineStr">
        <is>
          <t>https://legalaidnc.org/apply/</t>
        </is>
      </c>
      <c r="N87" s="328" t="n">
        <v>46239</v>
      </c>
      <c r="O87" s="296" t="inlineStr">
        <is>
          <t>Not contacted</t>
        </is>
      </c>
      <c r="P87" s="296" t="str"/>
      <c r="Q87" s="296" t="inlineStr">
        <is>
          <t>Charlotte / Mecklenburg</t>
        </is>
      </c>
      <c r="R87" s="296" t="inlineStr">
        <is>
          <t>Charlotte / Mecklenburg</t>
        </is>
      </c>
      <c r="S87" s="296" t="inlineStr">
        <is>
          <t>Located in or serving the requested roughly 30-mile Charlotte search area.</t>
        </is>
      </c>
      <c r="T87" s="219" t="n"/>
      <c r="U87" s="219" t="n"/>
      <c r="V87" s="221" t="n"/>
      <c r="W87" s="52" t="n"/>
      <c r="X87" s="52" t="n"/>
      <c r="Y87" s="52" t="n"/>
      <c r="Z87" s="52" t="n"/>
    </row>
    <row r="88" ht="72" customHeight="1" s="188">
      <c r="A88" s="296" t="n">
        <v>83</v>
      </c>
      <c r="B88" s="296" t="inlineStr">
        <is>
          <t>Legal / identity / safety; Employment / workforce; Education; Financial capability</t>
        </is>
      </c>
      <c r="C88" s="296" t="inlineStr">
        <is>
          <t>Mecklenburg County Office of Vital Records</t>
        </is>
      </c>
      <c r="D88" s="296" t="inlineStr">
        <is>
          <t>No</t>
        </is>
      </c>
      <c r="E88" s="296" t="inlineStr">
        <is>
          <t>Core</t>
        </is>
      </c>
      <c r="F88" s="296" t="inlineStr">
        <is>
          <t>A young adult needs a Mecklenburg birth or death certificate for identification, benefits, school or employment.</t>
        </is>
      </c>
      <c r="G88" s="296" t="inlineStr">
        <is>
          <t>Eligible applicants under state vital-record rules; identification and fees apply.</t>
        </is>
      </c>
      <c r="H88" s="296" t="inlineStr">
        <is>
          <t>Certified vital records.</t>
        </is>
      </c>
      <c r="I88" s="296" t="inlineStr">
        <is>
          <t>Order online, by mail or in person using the county's instructions.</t>
        </is>
      </c>
      <c r="J88" s="296" t="str"/>
      <c r="K88" s="296" t="inlineStr">
        <is>
          <t>618 N. College St., Charlotte, NC 28202.</t>
        </is>
      </c>
      <c r="L88" s="296" t="inlineStr">
        <is>
          <t>Only records in the office's jurisdiction are available; fees and ID requirements apply.</t>
        </is>
      </c>
      <c r="M88" s="296" t="inlineStr">
        <is>
          <t>https://health.mecknc.gov/services/office-vital-records</t>
        </is>
      </c>
      <c r="N88" s="328" t="n">
        <v>46239</v>
      </c>
      <c r="O88" s="296" t="inlineStr">
        <is>
          <t>Not contacted</t>
        </is>
      </c>
      <c r="P88" s="296" t="str"/>
      <c r="Q88" s="296" t="inlineStr">
        <is>
          <t>Charlotte / Mecklenburg</t>
        </is>
      </c>
      <c r="R88" s="296" t="inlineStr">
        <is>
          <t>Charlotte / Mecklenburg</t>
        </is>
      </c>
      <c r="S88" s="296" t="inlineStr">
        <is>
          <t>Located in or serving the requested roughly 30-mile Charlotte search area.</t>
        </is>
      </c>
      <c r="T88" s="219" t="n"/>
      <c r="U88" s="219" t="n"/>
      <c r="V88" s="221" t="n"/>
      <c r="W88" s="52" t="n"/>
      <c r="X88" s="52" t="n"/>
      <c r="Y88" s="52" t="n"/>
      <c r="Z88" s="52" t="n"/>
    </row>
    <row r="89" ht="72" customHeight="1" s="188">
      <c r="A89" s="296" t="n">
        <v>84</v>
      </c>
      <c r="B89" s="296" t="inlineStr">
        <is>
          <t>Legal / identity / safety; Health care; Mental health / recovery; Financial capability</t>
        </is>
      </c>
      <c r="C89" s="296" t="inlineStr">
        <is>
          <t>Safe Alliance — Victim Assistance and Sexual Assault Services</t>
        </is>
      </c>
      <c r="D89" s="296" t="inlineStr">
        <is>
          <t>No</t>
        </is>
      </c>
      <c r="E89" s="296" t="inlineStr">
        <is>
          <t>Core</t>
        </is>
      </c>
      <c r="F89" s="296" t="inlineStr">
        <is>
          <t>A survivor needs crisis counseling, court advocacy, sexual-assault support or help navigating protective options.</t>
        </is>
      </c>
      <c r="G89" s="296" t="inlineStr">
        <is>
          <t>Survivors of domestic violence, sexual assault or related victimization.</t>
        </is>
      </c>
      <c r="H89" s="296" t="inlineStr">
        <is>
          <t>24/7 hotline, hospital accompaniment, counseling, court advocacy and safety planning.</t>
        </is>
      </c>
      <c r="I89" s="296" t="inlineStr">
        <is>
          <t>Call the Greater Charlotte Hope Line.</t>
        </is>
      </c>
      <c r="J89" s="296" t="inlineStr">
        <is>
          <t>980-771-4673</t>
        </is>
      </c>
      <c r="K89" s="296" t="inlineStr">
        <is>
          <t>Charlotte / Mecklenburg County.</t>
        </is>
      </c>
      <c r="L89" s="296" t="inlineStr">
        <is>
          <t>Call 911 for immediate danger; legal representation may require referral to a legal-services provider.</t>
        </is>
      </c>
      <c r="M89" s="296" t="inlineStr">
        <is>
          <t>https://www.safealliance.org/</t>
        </is>
      </c>
      <c r="N89" s="328" t="n">
        <v>46239</v>
      </c>
      <c r="O89" s="296" t="inlineStr">
        <is>
          <t>Not contacted</t>
        </is>
      </c>
      <c r="P89" s="296" t="str"/>
      <c r="Q89" s="296" t="inlineStr">
        <is>
          <t>Charlotte / Mecklenburg</t>
        </is>
      </c>
      <c r="R89" s="296" t="inlineStr">
        <is>
          <t>Charlotte / Mecklenburg</t>
        </is>
      </c>
      <c r="S89" s="296" t="inlineStr">
        <is>
          <t>Located in or serving the requested roughly 30-mile Charlotte search area.</t>
        </is>
      </c>
      <c r="T89" s="219" t="n"/>
      <c r="U89" s="219" t="n"/>
      <c r="V89" s="221" t="n"/>
      <c r="W89" s="52" t="n"/>
      <c r="X89" s="52" t="n"/>
      <c r="Y89" s="52" t="n"/>
      <c r="Z89" s="52" t="n"/>
    </row>
    <row r="90" ht="72" customHeight="1" s="188">
      <c r="A90" s="296" t="n">
        <v>85</v>
      </c>
      <c r="B90" s="296" t="inlineStr">
        <is>
          <t>Legal / identity / safety; Housing / homelessness; Health care; Employment / workforce; Education; Soft skills / life skills; Community / belonging</t>
        </is>
      </c>
      <c r="C90" s="296" t="inlineStr">
        <is>
          <t>Mecklenburg County Re-Entry Services</t>
        </is>
      </c>
      <c r="D90" s="296" t="inlineStr">
        <is>
          <t>No</t>
        </is>
      </c>
      <c r="E90" s="296" t="inlineStr">
        <is>
          <t>Specialized</t>
        </is>
      </c>
      <c r="F90" s="296" t="inlineStr">
        <is>
          <t>A young adult recently released from incarceration needs employment, education, identification or service coordination.</t>
        </is>
      </c>
      <c r="G90" s="296" t="inlineStr">
        <is>
          <t>Generally Mecklenburg residents within one year of release; confirm current criteria.</t>
        </is>
      </c>
      <c r="H90" s="296" t="inlineStr">
        <is>
          <t>Re-entry case management, employment preparation, education and community-service connections.</t>
        </is>
      </c>
      <c r="I90" s="296" t="inlineStr">
        <is>
          <t>Call the Re-Entry Services office for screening.</t>
        </is>
      </c>
      <c r="J90" s="296" t="inlineStr">
        <is>
          <t>980-314-1750</t>
        </is>
      </c>
      <c r="K90" s="296" t="inlineStr">
        <is>
          <t>Mecklenburg County.</t>
        </is>
      </c>
      <c r="L90" s="296" t="inlineStr">
        <is>
          <t>Eligibility is tied to justice involvement and release timing.</t>
        </is>
      </c>
      <c r="M90" s="296" t="inlineStr">
        <is>
          <t>https://cjs.mecknc.gov/Services/Re-Entry</t>
        </is>
      </c>
      <c r="N90" s="328" t="n">
        <v>46239</v>
      </c>
      <c r="O90" s="296" t="inlineStr">
        <is>
          <t>Not contacted</t>
        </is>
      </c>
      <c r="P90" s="296" t="str"/>
      <c r="Q90" s="296" t="inlineStr">
        <is>
          <t>Charlotte / Mecklenburg</t>
        </is>
      </c>
      <c r="R90" s="296" t="inlineStr">
        <is>
          <t>Charlotte / Mecklenburg</t>
        </is>
      </c>
      <c r="S90" s="296" t="inlineStr">
        <is>
          <t>Located in or serving the requested roughly 30-mile Charlotte search area.</t>
        </is>
      </c>
      <c r="T90" s="219" t="n"/>
      <c r="U90" s="219" t="n"/>
      <c r="V90" s="221" t="n"/>
      <c r="W90" s="52" t="n"/>
      <c r="X90" s="52" t="n"/>
      <c r="Y90" s="52" t="n"/>
      <c r="Z90" s="52" t="n"/>
    </row>
    <row r="91" ht="72" customHeight="1" s="188">
      <c r="A91" s="296" t="n">
        <v>86</v>
      </c>
      <c r="B91" s="296" t="inlineStr">
        <is>
          <t>Legal / identity / safety; Housing / homelessness; Health care; Employment / workforce; Soft skills / life skills; Transportation; Community / belonging</t>
        </is>
      </c>
      <c r="C91" s="296" t="inlineStr">
        <is>
          <t>Center for Community Transitions</t>
        </is>
      </c>
      <c r="D91" s="296" t="inlineStr">
        <is>
          <t>No</t>
        </is>
      </c>
      <c r="E91" s="296" t="inlineStr">
        <is>
          <t>Specialized</t>
        </is>
      </c>
      <c r="F91" s="296" t="inlineStr">
        <is>
          <t>A person affected by incarceration needs re-entry employment, family support or transition services.</t>
        </is>
      </c>
      <c r="G91" s="296" t="inlineStr">
        <is>
          <t>People with current/former justice-system involvement and their families; program criteria vary.</t>
        </is>
      </c>
      <c r="H91" s="296" t="inlineStr">
        <is>
          <t>Employment readiness, re-entry support and family-focused programs.</t>
        </is>
      </c>
      <c r="I91" s="296" t="inlineStr">
        <is>
          <t>Contact the organization for the appropriate program intake.</t>
        </is>
      </c>
      <c r="J91" s="296" t="str"/>
      <c r="K91" s="296" t="inlineStr">
        <is>
          <t>Charlotte / Mecklenburg County.</t>
        </is>
      </c>
      <c r="L91" s="296" t="inlineStr">
        <is>
          <t>Programs serve specific justice-involved populations; verify fit before referral.</t>
        </is>
      </c>
      <c r="M91" s="296" t="inlineStr">
        <is>
          <t>https://centerforcommunitytransitions.org/</t>
        </is>
      </c>
      <c r="N91" s="328" t="n">
        <v>46239</v>
      </c>
      <c r="O91" s="296" t="inlineStr">
        <is>
          <t>Not contacted</t>
        </is>
      </c>
      <c r="P91" s="296" t="str"/>
      <c r="Q91" s="296" t="inlineStr">
        <is>
          <t>Charlotte / Mecklenburg</t>
        </is>
      </c>
      <c r="R91" s="296" t="inlineStr">
        <is>
          <t>Charlotte / Mecklenburg</t>
        </is>
      </c>
      <c r="S91" s="296" t="inlineStr">
        <is>
          <t>Located in or serving the requested roughly 30-mile Charlotte search area.</t>
        </is>
      </c>
      <c r="T91" s="219" t="n"/>
      <c r="U91" s="219" t="n"/>
      <c r="V91" s="221" t="n"/>
      <c r="W91" s="52" t="n"/>
      <c r="X91" s="52" t="n"/>
      <c r="Y91" s="52" t="n"/>
      <c r="Z91" s="52" t="n"/>
    </row>
    <row r="92" ht="72" customHeight="1" s="188">
      <c r="A92" s="296" t="n">
        <v>87</v>
      </c>
      <c r="B92" s="296" t="inlineStr">
        <is>
          <t>Legal / identity / safety; Housing / homelessness; Mental health / recovery</t>
        </is>
      </c>
      <c r="C92" s="296" t="inlineStr">
        <is>
          <t>National Human Trafficking Hotline</t>
        </is>
      </c>
      <c r="D92" s="296" t="inlineStr">
        <is>
          <t>No</t>
        </is>
      </c>
      <c r="E92" s="296" t="inlineStr">
        <is>
          <t>Core</t>
        </is>
      </c>
      <c r="F92" s="296" t="inlineStr">
        <is>
          <t>A young adult may be experiencing labor or sex trafficking, exploitation or coercive control.</t>
        </is>
      </c>
      <c r="G92" s="296" t="inlineStr">
        <is>
          <t>Anyone seeking help or reporting a concern.</t>
        </is>
      </c>
      <c r="H92" s="296" t="inlineStr">
        <is>
          <t>24/7 confidential safety planning, crisis support and connection to local services.</t>
        </is>
      </c>
      <c r="I92" s="296" t="inlineStr">
        <is>
          <t>Call, text or use online chat; call 911 for immediate danger.</t>
        </is>
      </c>
      <c r="J92" s="296" t="inlineStr">
        <is>
          <t>1-888-373-7888 / text BEFREE to 233733</t>
        </is>
      </c>
      <c r="K92" s="296" t="inlineStr">
        <is>
          <t>Nationwide; local Charlotte referrals.</t>
        </is>
      </c>
      <c r="L92" s="296" t="inlineStr">
        <is>
          <t>Hotline staff coordinate options but cannot guarantee immediate housing or law-enforcement response.</t>
        </is>
      </c>
      <c r="M92" s="296" t="inlineStr">
        <is>
          <t>https://www.nccourts.gov/commissions/human-trafficking-commission/human-trafficking-charlotte-psa-campaign</t>
        </is>
      </c>
      <c r="N92" s="328" t="n">
        <v>46239</v>
      </c>
      <c r="O92" s="296" t="inlineStr">
        <is>
          <t>Not contacted</t>
        </is>
      </c>
      <c r="P92" s="296" t="str"/>
      <c r="Q92" s="296" t="inlineStr">
        <is>
          <t>Statewide / national</t>
        </is>
      </c>
      <c r="R92" s="296" t="inlineStr">
        <is>
          <t>Statewide / national</t>
        </is>
      </c>
      <c r="S92" s="296" t="inlineStr">
        <is>
          <t>Statewide or national fallback resource accessible from the Charlotte area.</t>
        </is>
      </c>
      <c r="T92" s="219" t="n"/>
      <c r="U92" s="219" t="n"/>
      <c r="V92" s="221" t="n"/>
      <c r="W92" s="52" t="n"/>
      <c r="X92" s="52" t="n"/>
      <c r="Y92" s="52" t="n"/>
      <c r="Z92" s="52" t="n"/>
    </row>
    <row r="93" ht="72" customHeight="1" s="188">
      <c r="A93" s="296" t="n">
        <v>88</v>
      </c>
      <c r="B93" s="296" t="inlineStr">
        <is>
          <t>Legal / identity / safety; Housing / homelessness; Health care</t>
        </is>
      </c>
      <c r="C93" s="296" t="inlineStr">
        <is>
          <t>Hope for Justice — North Carolina Regional Center</t>
        </is>
      </c>
      <c r="D93" s="296" t="inlineStr">
        <is>
          <t>No</t>
        </is>
      </c>
      <c r="E93" s="296" t="inlineStr">
        <is>
          <t>Specialized</t>
        </is>
      </c>
      <c r="F93" s="296" t="inlineStr">
        <is>
          <t>A trafficking survivor needs trauma-informed case management and longer-term support.</t>
        </is>
      </c>
      <c r="G93" s="296" t="inlineStr">
        <is>
          <t>Survivors meeting program criteria; confirm geographic and program eligibility.</t>
        </is>
      </c>
      <c r="H93" s="296" t="inlineStr">
        <is>
          <t>Trauma-informed advocacy, case management and connection to housing, health and legal resources.</t>
        </is>
      </c>
      <c r="I93" s="296" t="inlineStr">
        <is>
          <t>Contact the North Carolina regional program for screening.</t>
        </is>
      </c>
      <c r="J93" s="296" t="str"/>
      <c r="K93" s="296" t="inlineStr">
        <is>
          <t>Charlotte / North Carolina region.</t>
        </is>
      </c>
      <c r="L93" s="296" t="inlineStr">
        <is>
          <t>Capacity and referral criteria vary; this is not a 24/7 emergency hotline.</t>
        </is>
      </c>
      <c r="M93" s="296" t="inlineStr">
        <is>
          <t>https://hopeforjustice.org/news/hope-for-justice-north-carolina-regional-center-formerly-lily-pad-haven/</t>
        </is>
      </c>
      <c r="N93" s="328" t="n">
        <v>46239</v>
      </c>
      <c r="O93" s="296" t="inlineStr">
        <is>
          <t>Not contacted</t>
        </is>
      </c>
      <c r="P93" s="296" t="str"/>
      <c r="Q93" s="296" t="inlineStr">
        <is>
          <t>Charlotte / Mecklenburg</t>
        </is>
      </c>
      <c r="R93" s="296" t="inlineStr">
        <is>
          <t>Charlotte / Mecklenburg</t>
        </is>
      </c>
      <c r="S93" s="296" t="inlineStr">
        <is>
          <t>Located in or serving the requested roughly 30-mile Charlotte search area.</t>
        </is>
      </c>
      <c r="T93" s="219" t="n"/>
      <c r="U93" s="219" t="n"/>
      <c r="V93" s="221" t="n"/>
      <c r="W93" s="52" t="n"/>
      <c r="X93" s="52" t="n"/>
      <c r="Y93" s="52" t="n"/>
      <c r="Z93" s="52" t="n"/>
    </row>
    <row r="94" ht="72" customHeight="1" s="188">
      <c r="A94" s="296" t="n">
        <v>89</v>
      </c>
      <c r="B94" s="296" t="inlineStr">
        <is>
          <t>Parenting / family; Housing / homelessness; Education</t>
        </is>
      </c>
      <c r="C94" s="296" t="inlineStr">
        <is>
          <t>Smart Start of Mecklenburg County</t>
        </is>
      </c>
      <c r="D94" s="296" t="inlineStr">
        <is>
          <t>No</t>
        </is>
      </c>
      <c r="E94" s="296" t="inlineStr">
        <is>
          <t>Backup</t>
        </is>
      </c>
      <c r="F94" s="296" t="inlineStr">
        <is>
          <t>A parenting young adult needs early-childhood, parenting or child-development resources.</t>
        </is>
      </c>
      <c r="G94" s="296" t="inlineStr">
        <is>
          <t>Families and caregivers of young children; program eligibility varies.</t>
        </is>
      </c>
      <c r="H94" s="296" t="inlineStr">
        <is>
          <t>Parent education, early-childhood navigation and connections to family supports.</t>
        </is>
      </c>
      <c r="I94" s="296" t="inlineStr">
        <is>
          <t>Use the families/caregivers resource page or contact Smart Start.</t>
        </is>
      </c>
      <c r="J94" s="296" t="str"/>
      <c r="K94" s="296" t="inlineStr">
        <is>
          <t>Mecklenburg County.</t>
        </is>
      </c>
      <c r="L94" s="296" t="inlineStr">
        <is>
          <t>Smart Start coordinates and funds multiple programs; availability depends on the specific partner.</t>
        </is>
      </c>
      <c r="M94" s="296" t="inlineStr">
        <is>
          <t>https://www.smartstartofmeck.org/families-caregivers/</t>
        </is>
      </c>
      <c r="N94" s="328" t="n">
        <v>46239</v>
      </c>
      <c r="O94" s="296" t="inlineStr">
        <is>
          <t>Not contacted</t>
        </is>
      </c>
      <c r="P94" s="296" t="str"/>
      <c r="Q94" s="296" t="inlineStr">
        <is>
          <t>Charlotte / Mecklenburg</t>
        </is>
      </c>
      <c r="R94" s="296" t="inlineStr">
        <is>
          <t>Charlotte / Mecklenburg</t>
        </is>
      </c>
      <c r="S94" s="296" t="inlineStr">
        <is>
          <t>Located in or serving the requested roughly 30-mile Charlotte search area.</t>
        </is>
      </c>
      <c r="T94" s="219" t="n"/>
      <c r="U94" s="219" t="n"/>
      <c r="V94" s="221" t="n"/>
      <c r="W94" s="52" t="n"/>
      <c r="X94" s="52" t="n"/>
      <c r="Y94" s="52" t="n"/>
      <c r="Z94" s="52" t="n"/>
    </row>
    <row r="95" ht="72" customHeight="1" s="188">
      <c r="A95" s="296" t="n">
        <v>90</v>
      </c>
      <c r="B95" s="296" t="inlineStr">
        <is>
          <t>Employment / workforce; Soft skills / life skills; Financial capability; Transportation; Disability support; Community / belonging</t>
        </is>
      </c>
      <c r="C95" s="296" t="inlineStr">
        <is>
          <t>Disability Rights &amp; Resources</t>
        </is>
      </c>
      <c r="D95" s="296" t="inlineStr">
        <is>
          <t>No</t>
        </is>
      </c>
      <c r="E95" s="296" t="inlineStr">
        <is>
          <t>Core</t>
        </is>
      </c>
      <c r="F95" s="296" t="inlineStr">
        <is>
          <t>A young adult with a disability needs independent-living skills, advocacy, benefits navigation or accessibility support.</t>
        </is>
      </c>
      <c r="G95" s="296" t="inlineStr">
        <is>
          <t>People with disabilities; specific services may have geographic or program criteria.</t>
        </is>
      </c>
      <c r="H95" s="296" t="inlineStr">
        <is>
          <t>Independent-living skills, advocacy, transportation guidance, budgeting and employment-related support.</t>
        </is>
      </c>
      <c r="I95" s="296" t="inlineStr">
        <is>
          <t>Contact the Center for Independent Living and request an intake.</t>
        </is>
      </c>
      <c r="J95" s="296" t="str"/>
      <c r="K95" s="296" t="inlineStr">
        <is>
          <t>Charlotte / regional.</t>
        </is>
      </c>
      <c r="L95" s="296" t="inlineStr">
        <is>
          <t>This is an independent-living and advocacy organization, not residential care or emergency assistance.</t>
        </is>
      </c>
      <c r="M95" s="296" t="inlineStr">
        <is>
          <t>https://disability-rights.org/</t>
        </is>
      </c>
      <c r="N95" s="328" t="n">
        <v>46239</v>
      </c>
      <c r="O95" s="296" t="inlineStr">
        <is>
          <t>Not contacted</t>
        </is>
      </c>
      <c r="P95" s="296" t="str"/>
      <c r="Q95" s="296" t="inlineStr">
        <is>
          <t>Charlotte / Mecklenburg</t>
        </is>
      </c>
      <c r="R95" s="296" t="inlineStr">
        <is>
          <t>Charlotte / Mecklenburg</t>
        </is>
      </c>
      <c r="S95" s="296" t="inlineStr">
        <is>
          <t>Located in or serving the requested roughly 30-mile Charlotte search area.</t>
        </is>
      </c>
      <c r="T95" s="219" t="n"/>
      <c r="U95" s="219" t="n"/>
      <c r="V95" s="221" t="n"/>
      <c r="W95" s="52" t="n"/>
      <c r="X95" s="52" t="n"/>
      <c r="Y95" s="52" t="n"/>
      <c r="Z95" s="52" t="n"/>
    </row>
    <row r="96" ht="72" customHeight="1" s="188">
      <c r="A96" s="296" t="n">
        <v>91</v>
      </c>
      <c r="B96" s="296" t="inlineStr">
        <is>
          <t>Mentorship; Soft skills / life skills; Employment / workforce; Education; Financial capability; Community / belonging</t>
        </is>
      </c>
      <c r="C96" s="296" t="inlineStr">
        <is>
          <t>Home4Me — LEG Up on LIFE</t>
        </is>
      </c>
      <c r="D96" s="296" t="inlineStr">
        <is>
          <t>Yes</t>
        </is>
      </c>
      <c r="E96" s="296" t="inlineStr">
        <is>
          <t>Core</t>
        </is>
      </c>
      <c r="F96" s="296" t="inlineStr">
        <is>
          <t>A current or former foster youth needs consistent coaching, mentors and practical independent-living development.</t>
        </is>
      </c>
      <c r="G96" s="296" t="inlineStr">
        <is>
          <t>Youth and young adults transitioning from foster care or adolescence; program includes age-based tracks and adult support. Confirm current enrollment.</t>
        </is>
      </c>
      <c r="H96" s="296" t="inlineStr">
        <is>
          <t>Mentoring, leadership, personal development, college and career direction, financial literacy, wellness and hands-on independent-living skills.</t>
        </is>
      </c>
      <c r="I96" s="296" t="inlineStr">
        <is>
          <t>Use the LEG Up on LIFE page or call Home4Me to ask about the current virtual meeting, workshops and enrollment.</t>
        </is>
      </c>
      <c r="J96" s="296" t="inlineStr">
        <is>
          <t>704-974-6570</t>
        </is>
      </c>
      <c r="K96" s="296" t="inlineStr">
        <is>
          <t>Greater Charlotte area; recurring virtual programming.</t>
        </is>
      </c>
      <c r="L96" s="296" t="inlineStr">
        <is>
          <t>Meeting schedules and enrollment processes can change. Confirm the appropriate age track and whether individual coaching is available.</t>
        </is>
      </c>
      <c r="M96" s="296" t="inlineStr">
        <is>
          <t>https://home4me.org/leg-up-on-life-2-2/</t>
        </is>
      </c>
      <c r="N96" s="328" t="n">
        <v>46239</v>
      </c>
      <c r="O96" s="296" t="inlineStr">
        <is>
          <t>Not contacted</t>
        </is>
      </c>
      <c r="P96" s="296" t="str"/>
      <c r="Q96" s="296" t="inlineStr">
        <is>
          <t>Charlotte / Mecklenburg</t>
        </is>
      </c>
      <c r="R96" s="296" t="inlineStr">
        <is>
          <t>Charlotte / Mecklenburg</t>
        </is>
      </c>
      <c r="S96" s="296" t="inlineStr">
        <is>
          <t>Located in or serving the requested roughly 30-mile Charlotte search area.</t>
        </is>
      </c>
      <c r="T96" s="219" t="n"/>
      <c r="U96" s="219" t="n"/>
      <c r="V96" s="221" t="n"/>
      <c r="W96" s="52" t="n"/>
      <c r="X96" s="52" t="n"/>
      <c r="Y96" s="52" t="n"/>
      <c r="Z96" s="52" t="n"/>
    </row>
    <row r="97" ht="72" customHeight="1" s="188">
      <c r="A97" s="296" t="n">
        <v>92</v>
      </c>
      <c r="B97" s="296" t="inlineStr">
        <is>
          <t>Mentorship; Soft skills / life skills; Employment / workforce; Education; Community / belonging</t>
        </is>
      </c>
      <c r="C97" s="296" t="inlineStr">
        <is>
          <t>Machiah's House</t>
        </is>
      </c>
      <c r="D97" s="296" t="inlineStr">
        <is>
          <t>Yes</t>
        </is>
      </c>
      <c r="E97" s="296" t="inlineStr">
        <is>
          <t>Specialized</t>
        </is>
      </c>
      <c r="F97" s="296" t="inlineStr">
        <is>
          <t>A young woman aging out of foster care needs supportive relationships, workshops and help preparing for independent adulthood.</t>
        </is>
      </c>
      <c r="G97" s="296" t="inlineStr">
        <is>
          <t>Young women generally ages 18–24 who are aging out of foster care; confirm the current program and referral criteria.</t>
        </is>
      </c>
      <c r="H97" s="296" t="inlineStr">
        <is>
          <t>Workshops, community events, mentoring-oriented support and connection to education, work and stability resources.</t>
        </is>
      </c>
      <c r="I97" s="296" t="inlineStr">
        <is>
          <t>Contact Machiah’s House and request a current program screening.</t>
        </is>
      </c>
      <c r="J97" s="296" t="inlineStr">
        <is>
          <t>704-669-8016</t>
        </is>
      </c>
      <c r="K97" s="296" t="inlineStr">
        <is>
          <t>Charlotte, NC; mailing address PO Box 42624, Charlotte, NC 28215.</t>
        </is>
      </c>
      <c r="L97" s="296" t="inlineStr">
        <is>
          <t>The organization is developing its residential vision; do not describe housing as currently available unless staff confirms it.</t>
        </is>
      </c>
      <c r="M97" s="296" t="inlineStr">
        <is>
          <t>https://machiahshouse.org/programs/</t>
        </is>
      </c>
      <c r="N97" s="328" t="n">
        <v>46239</v>
      </c>
      <c r="O97" s="296" t="inlineStr">
        <is>
          <t>Not contacted</t>
        </is>
      </c>
      <c r="P97" s="296" t="str"/>
      <c r="Q97" s="296" t="inlineStr">
        <is>
          <t>Charlotte / Mecklenburg</t>
        </is>
      </c>
      <c r="R97" s="296" t="inlineStr">
        <is>
          <t>Charlotte / Mecklenburg</t>
        </is>
      </c>
      <c r="S97" s="296" t="inlineStr">
        <is>
          <t>Located in or serving the requested roughly 30-mile Charlotte search area.</t>
        </is>
      </c>
      <c r="T97" s="219" t="n"/>
      <c r="U97" s="219" t="n"/>
      <c r="V97" s="221" t="n"/>
      <c r="W97" s="52" t="n"/>
      <c r="X97" s="52" t="n"/>
      <c r="Y97" s="52" t="n"/>
      <c r="Z97" s="52" t="n"/>
    </row>
    <row r="98" ht="72" customHeight="1" s="188">
      <c r="A98" s="296" t="n">
        <v>93</v>
      </c>
      <c r="B98" s="296" t="inlineStr">
        <is>
          <t>Mentorship; Soft skills / life skills; Community / belonging</t>
        </is>
      </c>
      <c r="C98" s="296" t="inlineStr">
        <is>
          <t>Congregations for Kids — Mentor Match</t>
        </is>
      </c>
      <c r="D98" s="296" t="inlineStr">
        <is>
          <t>Yes</t>
        </is>
      </c>
      <c r="E98" s="296" t="inlineStr">
        <is>
          <t>Specialized</t>
        </is>
      </c>
      <c r="F98" s="296" t="inlineStr">
        <is>
          <t>A teen currently in foster care needs a committed adult mentor before aging out.</t>
        </is>
      </c>
      <c r="G98" s="296" t="inlineStr">
        <is>
          <t>Youth ages 11–18 currently in foster care through Mecklenburg or Union County; referral generally comes from a social worker, caregiver or GAL.</t>
        </is>
      </c>
      <c r="H98" s="296" t="inlineStr">
        <is>
          <t>Long-term relational mentoring, fun and support through the transition toward adulthood.</t>
        </is>
      </c>
      <c r="I98" s="296" t="inlineStr">
        <is>
          <t>Use the youth referral process or email mentor@cfknc.org.</t>
        </is>
      </c>
      <c r="J98" s="296" t="inlineStr">
        <is>
          <t>704-918-1515</t>
        </is>
      </c>
      <c r="K98" s="296" t="inlineStr">
        <is>
          <t>931 Industrial Dr., Matthews, NC 28105; serves Mecklenburg and Union counties.</t>
        </is>
      </c>
      <c r="L98" s="296" t="inlineStr">
        <is>
          <t>Generally not an open adult program after age 18. Use primarily for early transition planning and coordinate mentor roles with the program.</t>
        </is>
      </c>
      <c r="M98" s="296" t="inlineStr">
        <is>
          <t>https://www.cfknc.org/mentor</t>
        </is>
      </c>
      <c r="N98" s="328" t="n">
        <v>46239</v>
      </c>
      <c r="O98" s="296" t="inlineStr">
        <is>
          <t>Not contacted</t>
        </is>
      </c>
      <c r="P98" s="296" t="str"/>
      <c r="Q98" s="296" t="inlineStr">
        <is>
          <t>Matthews / Mecklenburg-Union</t>
        </is>
      </c>
      <c r="R98" s="296" t="inlineStr">
        <is>
          <t>Surrounding communities</t>
        </is>
      </c>
      <c r="S98" s="296" t="inlineStr">
        <is>
          <t>Located in or serving the requested roughly 30-mile Charlotte search area.</t>
        </is>
      </c>
      <c r="T98" s="219" t="n"/>
      <c r="U98" s="219" t="n"/>
      <c r="V98" s="221" t="n"/>
      <c r="W98" s="52" t="n"/>
      <c r="X98" s="52" t="n"/>
      <c r="Y98" s="52" t="n"/>
      <c r="Z98" s="52" t="n"/>
    </row>
    <row r="99" ht="72" customHeight="1" s="188">
      <c r="A99" s="296" t="n">
        <v>94</v>
      </c>
      <c r="B99" s="296" t="inlineStr">
        <is>
          <t>Employment / workforce; Education; Soft skills / life skills; Financial capability</t>
        </is>
      </c>
      <c r="C99" s="296" t="inlineStr">
        <is>
          <t>City of Charlotte — Job &amp; Career Readiness Training</t>
        </is>
      </c>
      <c r="D99" s="296" t="inlineStr">
        <is>
          <t>No</t>
        </is>
      </c>
      <c r="E99" s="296" t="inlineStr">
        <is>
          <t>Core</t>
        </is>
      </c>
      <c r="F99" s="296" t="inlineStr">
        <is>
          <t>A young adult needs workplace readiness, communication, emotional intelligence, time management or financial-literacy training.</t>
        </is>
      </c>
      <c r="G99" s="296" t="inlineStr">
        <is>
          <t>Charlotte-area youth and young adults; recent JCRT offerings have served ages 16–24. Confirm the current cohort criteria.</t>
        </is>
      </c>
      <c r="H99" s="296" t="inlineStr">
        <is>
          <t>Career-readiness workshops focused on professional identity, communication, emotional intelligence, time management and financial literacy.</t>
        </is>
      </c>
      <c r="I99" s="296" t="inlineStr">
        <is>
          <t>Review the Office of Youth Opportunities Youth Development page and apply during an open cohort.</t>
        </is>
      </c>
      <c r="J99" s="296" t="str"/>
      <c r="K99" s="296" t="inlineStr">
        <is>
          <t>Charlotte / Mecklenburg County.</t>
        </is>
      </c>
      <c r="L99" s="296" t="inlineStr">
        <is>
          <t>Programs are cohort-based and age limits can differ by initiative. Verify that JCRT or an equivalent 16–24 offering is currently open.</t>
        </is>
      </c>
      <c r="M99" s="296" t="inlineStr">
        <is>
          <t>https://www.charlottenc.gov/City-Government/Initiatives-and-Involvement/Office-of-Youth-Opportunities/Youth-Development</t>
        </is>
      </c>
      <c r="N99" s="328" t="n">
        <v>46239</v>
      </c>
      <c r="O99" s="296" t="inlineStr">
        <is>
          <t>Not contacted</t>
        </is>
      </c>
      <c r="P99" s="296" t="str"/>
      <c r="Q99" s="296" t="inlineStr">
        <is>
          <t>Charlotte / Mecklenburg</t>
        </is>
      </c>
      <c r="R99" s="296" t="inlineStr">
        <is>
          <t>Charlotte / Mecklenburg</t>
        </is>
      </c>
      <c r="S99" s="296" t="inlineStr">
        <is>
          <t>Located in or serving the requested roughly 30-mile Charlotte search area.</t>
        </is>
      </c>
      <c r="T99" s="219" t="n"/>
      <c r="U99" s="219" t="n"/>
      <c r="V99" s="221" t="n"/>
      <c r="W99" s="52" t="n"/>
      <c r="X99" s="52" t="n"/>
      <c r="Y99" s="52" t="n"/>
      <c r="Z99" s="52" t="n"/>
    </row>
    <row r="100" ht="72" customHeight="1" s="188">
      <c r="A100" s="296" t="n">
        <v>95</v>
      </c>
      <c r="B100" s="296" t="inlineStr">
        <is>
          <t>Mentorship; Soft skills / life skills; Education; Community / belonging</t>
        </is>
      </c>
      <c r="C100" s="296" t="inlineStr">
        <is>
          <t>Step Up to Leadership</t>
        </is>
      </c>
      <c r="D100" s="296" t="inlineStr">
        <is>
          <t>No</t>
        </is>
      </c>
      <c r="E100" s="296" t="inlineStr">
        <is>
          <t>Specialized</t>
        </is>
      </c>
      <c r="F100" s="296" t="inlineStr">
        <is>
          <t>A young person or college student wants leadership coaching, peer development and service experience.</t>
        </is>
      </c>
      <c r="G100" s="296" t="inlineStr">
        <is>
          <t>Youth and young adults accepted into a current school-, college- or community-based cohort; eligibility varies by program.</t>
        </is>
      </c>
      <c r="H100" s="296" t="inlineStr">
        <is>
          <t>Leadership coaching, social development, peer leadership and community-service opportunities.</t>
        </is>
      </c>
      <c r="I100" s="296" t="inlineStr">
        <is>
          <t>Contact the organization for the current program calendar and enrollment process.</t>
        </is>
      </c>
      <c r="J100" s="296" t="inlineStr">
        <is>
          <t>980-781-9686</t>
        </is>
      </c>
      <c r="K100" s="296" t="inlineStr">
        <is>
          <t>301 McCullough Dr., Suite 400, Charlotte, NC 28262.</t>
        </is>
      </c>
      <c r="L100" s="296" t="inlineStr">
        <is>
          <t>The public site does not present one universal intake path or age range. Confirm the active cohort before referral.</t>
        </is>
      </c>
      <c r="M100" s="296" t="inlineStr">
        <is>
          <t>https://www.sutlnc.org/academics</t>
        </is>
      </c>
      <c r="N100" s="328" t="n">
        <v>46239</v>
      </c>
      <c r="O100" s="296" t="inlineStr">
        <is>
          <t>Not contacted</t>
        </is>
      </c>
      <c r="P100" s="296" t="str"/>
      <c r="Q100" s="296" t="inlineStr">
        <is>
          <t>Charlotte / Mecklenburg</t>
        </is>
      </c>
      <c r="R100" s="296" t="inlineStr">
        <is>
          <t>Charlotte / Mecklenburg</t>
        </is>
      </c>
      <c r="S100" s="296" t="inlineStr">
        <is>
          <t>Located in or serving the requested roughly 30-mile Charlotte search area.</t>
        </is>
      </c>
      <c r="T100" s="219" t="n"/>
      <c r="U100" s="219" t="n"/>
      <c r="V100" s="221" t="n"/>
      <c r="W100" s="52" t="n"/>
      <c r="X100" s="52" t="n"/>
      <c r="Y100" s="52" t="n"/>
      <c r="Z100" s="52" t="n"/>
    </row>
    <row r="101" ht="72" customHeight="1" s="188">
      <c r="A101" s="296" t="n">
        <v>96</v>
      </c>
      <c r="B101" s="296" t="inlineStr">
        <is>
          <t>Mentorship; Soft skills / life skills; Financial capability; Entrepreneurship</t>
        </is>
      </c>
      <c r="C101" s="296" t="inlineStr">
        <is>
          <t>SCORE Charlotte</t>
        </is>
      </c>
      <c r="D101" s="296" t="inlineStr">
        <is>
          <t>No</t>
        </is>
      </c>
      <c r="E101" s="296" t="inlineStr">
        <is>
          <t>Specialized</t>
        </is>
      </c>
      <c r="F101" s="296" t="inlineStr">
        <is>
          <t>A young adult is exploring self-employment or already operating a small business and needs an experienced business mentor.</t>
        </is>
      </c>
      <c r="G101" s="296" t="inlineStr">
        <is>
          <t>Aspiring entrepreneurs and small-business owners in the greater Charlotte region.</t>
        </is>
      </c>
      <c r="H101" s="296" t="inlineStr">
        <is>
          <t>Free one-to-one business mentoring, workshops and practical guidance on planning, finance, marketing and operations.</t>
        </is>
      </c>
      <c r="I101" s="296" t="inlineStr">
        <is>
          <t>Request a mentor through the SCORE Charlotte page using the participant’s ZIP code.</t>
        </is>
      </c>
      <c r="J101" s="296" t="str"/>
      <c r="K101" s="296" t="inlineStr">
        <is>
          <t>Serves the Charlotte metro, Lake Norman and Carolinas border communities.</t>
        </is>
      </c>
      <c r="L101" s="296" t="inlineStr">
        <is>
          <t>SCORE is business mentoring, not general employment case management or start-up funding. A mentor match may take time.</t>
        </is>
      </c>
      <c r="M101" s="296" t="inlineStr">
        <is>
          <t>https://www.score.org/nc/charlotte/</t>
        </is>
      </c>
      <c r="N101" s="328" t="n">
        <v>46239</v>
      </c>
      <c r="O101" s="296" t="inlineStr">
        <is>
          <t>Not contacted</t>
        </is>
      </c>
      <c r="P101" s="296" t="str"/>
      <c r="Q101" s="296" t="inlineStr">
        <is>
          <t>Greater Charlotte region</t>
        </is>
      </c>
      <c r="R101" s="296" t="inlineStr">
        <is>
          <t>Charlotte / Mecklenburg</t>
        </is>
      </c>
      <c r="S101" s="296" t="inlineStr">
        <is>
          <t>Located in or serving the requested roughly 30-mile Charlotte search area.</t>
        </is>
      </c>
      <c r="T101" s="219" t="n"/>
      <c r="U101" s="219" t="n"/>
      <c r="V101" s="221" t="n"/>
      <c r="W101" s="52" t="n"/>
      <c r="X101" s="52" t="n"/>
      <c r="Y101" s="52" t="n"/>
      <c r="Z101" s="52" t="n"/>
    </row>
    <row r="102" ht="72" customHeight="1" s="188">
      <c r="A102" s="296" t="n">
        <v>97</v>
      </c>
      <c r="B102" s="296" t="inlineStr">
        <is>
          <t>Employment / workforce; Education; Mentorship; Soft skills / life skills; Financial capability</t>
        </is>
      </c>
      <c r="C102" s="296" t="inlineStr">
        <is>
          <t>Per Scholas North Carolina</t>
        </is>
      </c>
      <c r="D102" s="296" t="inlineStr">
        <is>
          <t>No</t>
        </is>
      </c>
      <c r="E102" s="296" t="inlineStr">
        <is>
          <t>Core</t>
        </is>
      </c>
      <c r="F102" s="296" t="inlineStr">
        <is>
          <t>A young adult wants no-cost, intensive technology training plus professional development and career coaching.</t>
        </is>
      </c>
      <c r="G102" s="296" t="inlineStr">
        <is>
          <t>North Carolina residents who meet the specific course prerequisites and income requirements; schedules and delivery modes vary.</t>
        </is>
      </c>
      <c r="H102" s="296" t="inlineStr">
        <is>
          <t>No-cost instructor-led technology training, certifications, learner support, financial coaching, career mentorship, resumes and mock interviews.</t>
        </is>
      </c>
      <c r="I102" s="296" t="inlineStr">
        <is>
          <t>Review the current North Carolina courses, complete the eligibility form and apply before the cohort deadline.</t>
        </is>
      </c>
      <c r="J102" s="296" t="str"/>
      <c r="K102" s="296" t="inlineStr">
        <is>
          <t>Charlotte campus plus virtual North Carolina offerings.</t>
        </is>
      </c>
      <c r="L102" s="296" t="inlineStr">
        <is>
          <t>Courses are intensive and cohort-specific. Per Scholas does not generally pay learners to attend; direct support is case-by-case.</t>
        </is>
      </c>
      <c r="M102" s="296" t="inlineStr">
        <is>
          <t>https://perscholas.org/locations/northcarolina/</t>
        </is>
      </c>
      <c r="N102" s="328" t="n">
        <v>46239</v>
      </c>
      <c r="O102" s="296" t="inlineStr">
        <is>
          <t>Not contacted</t>
        </is>
      </c>
      <c r="P102" s="296" t="str"/>
      <c r="Q102" s="296" t="inlineStr">
        <is>
          <t>Charlotte / North Carolina</t>
        </is>
      </c>
      <c r="R102" s="296" t="inlineStr">
        <is>
          <t>Charlotte / Mecklenburg</t>
        </is>
      </c>
      <c r="S102" s="296" t="inlineStr">
        <is>
          <t>Located in or serving the requested roughly 30-mile Charlotte search area.</t>
        </is>
      </c>
      <c r="T102" s="219" t="n"/>
      <c r="U102" s="219" t="n"/>
      <c r="V102" s="221" t="n"/>
      <c r="W102" s="52" t="n"/>
      <c r="X102" s="52" t="n"/>
      <c r="Y102" s="52" t="n"/>
      <c r="Z102" s="52" t="n"/>
    </row>
    <row r="103" ht="72" customHeight="1" s="188">
      <c r="A103" s="296" t="n">
        <v>98</v>
      </c>
      <c r="B103" s="296" t="inlineStr">
        <is>
          <t>Employment / workforce; Education; Mentorship; Soft skills / life skills</t>
        </is>
      </c>
      <c r="C103" s="296" t="inlineStr">
        <is>
          <t>Community Culinary School of Charlotte</t>
        </is>
      </c>
      <c r="D103" s="296" t="inlineStr">
        <is>
          <t>No</t>
        </is>
      </c>
      <c r="E103" s="296" t="inlineStr">
        <is>
          <t>Core</t>
        </is>
      </c>
      <c r="F103" s="296" t="inlineStr">
        <is>
          <t>An adult facing employment barriers wants culinary training, job readiness and placement support.</t>
        </is>
      </c>
      <c r="G103" s="296" t="inlineStr">
        <is>
          <t>Adults who meet the school’s current admissions and employment-barrier criteria; interview and commitment requirements apply.</t>
        </is>
      </c>
      <c r="H103" s="296" t="inlineStr">
        <is>
          <t>Culinary instruction, workplace and life skills, mentoring-oriented support, job readiness and employment placement.</t>
        </is>
      </c>
      <c r="I103" s="296" t="inlineStr">
        <is>
          <t>Contact the school or submit the student inquiry/application through its official site.</t>
        </is>
      </c>
      <c r="J103" s="296" t="inlineStr">
        <is>
          <t>704-375-4500</t>
        </is>
      </c>
      <c r="K103" s="296" t="inlineStr">
        <is>
          <t>9315-D Monroe Rd., Charlotte, NC 28270.</t>
        </is>
      </c>
      <c r="L103" s="296" t="inlineStr">
        <is>
          <t>Training is cohort-based and requires consistent participation. Confirm tuition support, schedule and eligibility before referral.</t>
        </is>
      </c>
      <c r="M103" s="296" t="inlineStr">
        <is>
          <t>https://communityculinary.org/</t>
        </is>
      </c>
      <c r="N103" s="328" t="n">
        <v>46239</v>
      </c>
      <c r="O103" s="296" t="inlineStr">
        <is>
          <t>Not contacted</t>
        </is>
      </c>
      <c r="P103" s="296" t="str"/>
      <c r="Q103" s="296" t="inlineStr">
        <is>
          <t>Charlotte / Mecklenburg</t>
        </is>
      </c>
      <c r="R103" s="296" t="inlineStr">
        <is>
          <t>Charlotte / Mecklenburg</t>
        </is>
      </c>
      <c r="S103" s="296" t="inlineStr">
        <is>
          <t>Located in or serving the requested roughly 30-mile Charlotte search area.</t>
        </is>
      </c>
      <c r="T103" s="219" t="n"/>
      <c r="U103" s="219" t="n"/>
      <c r="V103" s="221" t="n"/>
      <c r="W103" s="52" t="n"/>
      <c r="X103" s="52" t="n"/>
      <c r="Y103" s="52" t="n"/>
      <c r="Z103" s="52" t="n"/>
    </row>
    <row r="104" ht="72" customHeight="1" s="188">
      <c r="A104" s="296" t="n">
        <v>99</v>
      </c>
      <c r="B104" s="296" t="inlineStr">
        <is>
          <t>Employment / workforce; Education; Soft skills / life skills</t>
        </is>
      </c>
      <c r="C104" s="296" t="inlineStr">
        <is>
          <t>She Built This City — Adult Workforce Development</t>
        </is>
      </c>
      <c r="D104" s="296" t="inlineStr">
        <is>
          <t>No</t>
        </is>
      </c>
      <c r="E104" s="296" t="inlineStr">
        <is>
          <t>Specialized</t>
        </is>
      </c>
      <c r="F104" s="296" t="inlineStr">
        <is>
          <t>A woman wants a structured pathway into construction, facilities maintenance or the skilled trades.</t>
        </is>
      </c>
      <c r="G104" s="296" t="inlineStr">
        <is>
          <t>Adult women meeting the current pre-apprenticeship or apprenticeship criteria; application periods are cohort-based.</t>
        </is>
      </c>
      <c r="H104" s="296" t="inlineStr">
        <is>
          <t>Nine-week construction pre-apprenticeship, industry credentials, technology/customer-service training, employer connections and barrier-removal support.</t>
        </is>
      </c>
      <c r="I104" s="296" t="inlineStr">
        <is>
          <t>Review the Adult Workforce Development page and apply during an open cohort.</t>
        </is>
      </c>
      <c r="J104" s="296" t="inlineStr">
        <is>
          <t>818-963-5136</t>
        </is>
      </c>
      <c r="K104" s="296" t="inlineStr">
        <is>
          <t>920 Blairhill Rd., Suite B117, Charlotte, NC 28217.</t>
        </is>
      </c>
      <c r="L104" s="296" t="inlineStr">
        <is>
          <t>Benefits such as child supervision, meals or equipment have requirements and may vary by cohort.</t>
        </is>
      </c>
      <c r="M104" s="296" t="inlineStr">
        <is>
          <t>https://www.shebuiltthiscity.org/adult-workforce-development-1</t>
        </is>
      </c>
      <c r="N104" s="328" t="n">
        <v>46239</v>
      </c>
      <c r="O104" s="296" t="inlineStr">
        <is>
          <t>Not contacted</t>
        </is>
      </c>
      <c r="P104" s="296" t="str"/>
      <c r="Q104" s="296" t="inlineStr">
        <is>
          <t>Charlotte / Mecklenburg</t>
        </is>
      </c>
      <c r="R104" s="296" t="inlineStr">
        <is>
          <t>Charlotte / Mecklenburg</t>
        </is>
      </c>
      <c r="S104" s="296" t="inlineStr">
        <is>
          <t>Located in or serving the requested roughly 30-mile Charlotte search area.</t>
        </is>
      </c>
      <c r="T104" s="219" t="n"/>
      <c r="U104" s="219" t="n"/>
      <c r="V104" s="221" t="n"/>
      <c r="W104" s="52" t="n"/>
      <c r="X104" s="52" t="n"/>
      <c r="Y104" s="52" t="n"/>
      <c r="Z104" s="52" t="n"/>
    </row>
    <row r="105" ht="72" customHeight="1" s="188">
      <c r="A105" s="296" t="n">
        <v>100</v>
      </c>
      <c r="B105" s="296" t="inlineStr">
        <is>
          <t>Employment / workforce; Education; Soft skills / life skills; Financial capability</t>
        </is>
      </c>
      <c r="C105" s="296" t="inlineStr">
        <is>
          <t>Charlotte Area Fund — Workforce Development</t>
        </is>
      </c>
      <c r="D105" s="296" t="inlineStr">
        <is>
          <t>No</t>
        </is>
      </c>
      <c r="E105" s="296" t="inlineStr">
        <is>
          <t>Core</t>
        </is>
      </c>
      <c r="F105" s="296" t="inlineStr">
        <is>
          <t>A low-income adult needs job readiness, occupational training and success coaching.</t>
        </is>
      </c>
      <c r="G105" s="296" t="inlineStr">
        <is>
          <t>Adults meeting Charlotte Area Fund’s current income, service-area and training-program requirements.</t>
        </is>
      </c>
      <c r="H105" s="296" t="inlineStr">
        <is>
          <t>Workforce preparation and training pathways such as HVAC, construction, IT and medical-field programs, with whole-family success coaching.</t>
        </is>
      </c>
      <c r="I105" s="296" t="inlineStr">
        <is>
          <t>Use the official application page or call for a current program screening.</t>
        </is>
      </c>
      <c r="J105" s="296" t="inlineStr">
        <is>
          <t>704-372-3010</t>
        </is>
      </c>
      <c r="K105" s="296" t="inlineStr">
        <is>
          <t>3816 Latrobe Dr., Suite 101, Charlotte, NC 28211.</t>
        </is>
      </c>
      <c r="L105" s="296" t="inlineStr">
        <is>
          <t>Training offerings and funding change. Confirm the active course, income documents and attendance requirements.</t>
        </is>
      </c>
      <c r="M105" s="296" t="inlineStr">
        <is>
          <t>https://www.charlotteareafund.org/</t>
        </is>
      </c>
      <c r="N105" s="328" t="n">
        <v>46239</v>
      </c>
      <c r="O105" s="296" t="inlineStr">
        <is>
          <t>Not contacted</t>
        </is>
      </c>
      <c r="P105" s="296" t="str"/>
      <c r="Q105" s="296" t="inlineStr">
        <is>
          <t>Charlotte / Mecklenburg</t>
        </is>
      </c>
      <c r="R105" s="296" t="inlineStr">
        <is>
          <t>Charlotte / Mecklenburg</t>
        </is>
      </c>
      <c r="S105" s="296" t="inlineStr">
        <is>
          <t>Located in or serving the requested roughly 30-mile Charlotte search area.</t>
        </is>
      </c>
      <c r="T105" s="219" t="n"/>
      <c r="U105" s="219" t="n"/>
      <c r="V105" s="221" t="n"/>
      <c r="W105" s="52" t="n"/>
      <c r="X105" s="52" t="n"/>
      <c r="Y105" s="52" t="n"/>
      <c r="Z105" s="52" t="n"/>
    </row>
    <row r="106" ht="72" customHeight="1" s="188">
      <c r="A106" s="296" t="n">
        <v>101</v>
      </c>
      <c r="B106" s="296" t="inlineStr">
        <is>
          <t>Mentorship; Soft skills / life skills; Financial capability; Entrepreneurship</t>
        </is>
      </c>
      <c r="C106" s="296" t="inlineStr">
        <is>
          <t>ASPIRE Community Capital</t>
        </is>
      </c>
      <c r="D106" s="296" t="inlineStr">
        <is>
          <t>No</t>
        </is>
      </c>
      <c r="E106" s="296" t="inlineStr">
        <is>
          <t>Specialized</t>
        </is>
      </c>
      <c r="F106" s="296" t="inlineStr">
        <is>
          <t>A young adult wants to start or strengthen a small business and needs coaching, financial education or responsible capital.</t>
        </is>
      </c>
      <c r="G106" s="296" t="inlineStr">
        <is>
          <t>Aspiring and existing entrepreneurs in the greater Charlotte area; programs and loans have separate criteria.</t>
        </is>
      </c>
      <c r="H106" s="296" t="inlineStr">
        <is>
          <t>Business coaching, financial literacy, accelerator programming and microloan options for qualifying businesses.</t>
        </is>
      </c>
      <c r="I106" s="296" t="inlineStr">
        <is>
          <t>Contact ASPIRE for coaching/program intake before applying for financing.</t>
        </is>
      </c>
      <c r="J106" s="296" t="inlineStr">
        <is>
          <t>980-219-7577</t>
        </is>
      </c>
      <c r="K106" s="296" t="inlineStr">
        <is>
          <t>3124 Milton Rd., Suites 301 &amp; 303, Charlotte, NC 28215.</t>
        </is>
      </c>
      <c r="L106" s="296" t="inlineStr">
        <is>
          <t>Loans are not grants and are not automatic. Some products require demonstrated business profitability and documentation.</t>
        </is>
      </c>
      <c r="M106" s="296" t="inlineStr">
        <is>
          <t>https://www.aspirecommunitycapital.org/microloan</t>
        </is>
      </c>
      <c r="N106" s="328" t="n">
        <v>46239</v>
      </c>
      <c r="O106" s="296" t="inlineStr">
        <is>
          <t>Not contacted</t>
        </is>
      </c>
      <c r="P106" s="296" t="str"/>
      <c r="Q106" s="296" t="inlineStr">
        <is>
          <t>Charlotte / Mecklenburg</t>
        </is>
      </c>
      <c r="R106" s="296" t="inlineStr">
        <is>
          <t>Charlotte / Mecklenburg</t>
        </is>
      </c>
      <c r="S106" s="296" t="inlineStr">
        <is>
          <t>Located in or serving the requested roughly 30-mile Charlotte search area.</t>
        </is>
      </c>
      <c r="T106" s="219" t="n"/>
      <c r="U106" s="219" t="n"/>
      <c r="V106" s="221" t="n"/>
      <c r="W106" s="52" t="n"/>
      <c r="X106" s="52" t="n"/>
      <c r="Y106" s="52" t="n"/>
      <c r="Z106" s="52" t="n"/>
    </row>
    <row r="107" ht="72" customHeight="1" s="188">
      <c r="A107" s="296" t="n">
        <v>102</v>
      </c>
      <c r="B107" s="296" t="inlineStr">
        <is>
          <t>Employment / workforce; Mentorship; Soft skills / life skills; Disability support</t>
        </is>
      </c>
      <c r="C107" s="296" t="inlineStr">
        <is>
          <t>Cakeable — Vocational Training</t>
        </is>
      </c>
      <c r="D107" s="296" t="inlineStr">
        <is>
          <t>No</t>
        </is>
      </c>
      <c r="E107" s="296" t="inlineStr">
        <is>
          <t>Specialized</t>
        </is>
      </c>
      <c r="F107" s="296" t="inlineStr">
        <is>
          <t>An adult with an intellectual or developmental disability wants supported vocational training in a real workplace.</t>
        </is>
      </c>
      <c r="G107" s="296" t="inlineStr">
        <is>
          <t>Adults living with intellectual or developmental disabilities; application and fit assessment apply.</t>
        </is>
      </c>
      <c r="H107" s="296" t="inlineStr">
        <is>
          <t>Three- to six-month café-based vocational internships, confidence and life-skills development, job placement and long-term employer coaching.</t>
        </is>
      </c>
      <c r="I107" s="296" t="inlineStr">
        <is>
          <t>Use the shared Cakeable/ZABS application and request the Cakeable café track.</t>
        </is>
      </c>
      <c r="J107" s="296" t="str"/>
      <c r="K107" s="296" t="inlineStr">
        <is>
          <t>Cakeable Café, Uptown Charlotte.</t>
        </is>
      </c>
      <c r="L107" s="296" t="inlineStr">
        <is>
          <t>Cakeable and ZABS Place joined forces in 2026 and use one application. Placement in a specific track depends on fit and capacity.</t>
        </is>
      </c>
      <c r="M107" s="296" t="inlineStr">
        <is>
          <t>https://wearecakeable.org/employment/</t>
        </is>
      </c>
      <c r="N107" s="328" t="n">
        <v>46239</v>
      </c>
      <c r="O107" s="296" t="inlineStr">
        <is>
          <t>Not contacted</t>
        </is>
      </c>
      <c r="P107" s="296" t="str"/>
      <c r="Q107" s="296" t="inlineStr">
        <is>
          <t>Charlotte / Mecklenburg</t>
        </is>
      </c>
      <c r="R107" s="296" t="inlineStr">
        <is>
          <t>Charlotte / Mecklenburg</t>
        </is>
      </c>
      <c r="S107" s="296" t="inlineStr">
        <is>
          <t>Located in or serving the requested roughly 30-mile Charlotte search area.</t>
        </is>
      </c>
      <c r="T107" s="219" t="n"/>
      <c r="U107" s="219" t="n"/>
      <c r="V107" s="221" t="n"/>
      <c r="W107" s="52" t="n"/>
      <c r="X107" s="52" t="n"/>
      <c r="Y107" s="52" t="n"/>
      <c r="Z107" s="52" t="n"/>
    </row>
    <row r="108" ht="72" customHeight="1" s="188">
      <c r="A108" s="296" t="n">
        <v>103</v>
      </c>
      <c r="B108" s="296" t="inlineStr">
        <is>
          <t>Employment / workforce; Mentorship; Soft skills / life skills; Disability support</t>
        </is>
      </c>
      <c r="C108" s="296" t="inlineStr">
        <is>
          <t>ZABS Place — Talent-in-Training</t>
        </is>
      </c>
      <c r="D108" s="296" t="inlineStr">
        <is>
          <t>No</t>
        </is>
      </c>
      <c r="E108" s="296" t="inlineStr">
        <is>
          <t>Specialized</t>
        </is>
      </c>
      <c r="F108" s="296" t="inlineStr">
        <is>
          <t>A young adult with a disability wants individualized work experience, job coaching and a path to competitive employment.</t>
        </is>
      </c>
      <c r="G108" s="296" t="inlineStr">
        <is>
          <t>Young adults with disabilities/special talents who complete the application and program fit process.</t>
        </is>
      </c>
      <c r="H108" s="296" t="inlineStr">
        <is>
          <t>Sixty-four hours of individualized training over a four-month trimester, orientation, coaching, graduation and job placement.</t>
        </is>
      </c>
      <c r="I108" s="296" t="inlineStr">
        <is>
          <t>Complete the online training application and meet with a ZABS coach.</t>
        </is>
      </c>
      <c r="J108" s="296" t="inlineStr">
        <is>
          <t>704-708-5600</t>
        </is>
      </c>
      <c r="K108" s="296" t="inlineStr">
        <is>
          <t>100 N. Trade St. and 119 E. John St., Matthews, NC 28105.</t>
        </is>
      </c>
      <c r="L108" s="296" t="inlineStr">
        <is>
          <t>The training itself is described as no-cost, but a nominal application fee may apply; financial assistance may be requested.</t>
        </is>
      </c>
      <c r="M108" s="296" t="inlineStr">
        <is>
          <t>https://zabsplace.org/training-application/</t>
        </is>
      </c>
      <c r="N108" s="328" t="n">
        <v>46239</v>
      </c>
      <c r="O108" s="296" t="inlineStr">
        <is>
          <t>Not contacted</t>
        </is>
      </c>
      <c r="P108" s="296" t="str"/>
      <c r="Q108" s="296" t="inlineStr">
        <is>
          <t>Matthews / Mecklenburg-Union</t>
        </is>
      </c>
      <c r="R108" s="296" t="inlineStr">
        <is>
          <t>Surrounding communities</t>
        </is>
      </c>
      <c r="S108" s="296" t="inlineStr">
        <is>
          <t>Located in or serving the requested roughly 30-mile Charlotte search area.</t>
        </is>
      </c>
      <c r="T108" s="219" t="n"/>
      <c r="U108" s="219" t="n"/>
      <c r="V108" s="221" t="n"/>
      <c r="W108" s="52" t="n"/>
      <c r="X108" s="52" t="n"/>
      <c r="Y108" s="52" t="n"/>
      <c r="Z108" s="52" t="n"/>
    </row>
    <row r="109" ht="72" customHeight="1" s="188">
      <c r="A109" s="296" t="n">
        <v>104</v>
      </c>
      <c r="B109" s="296" t="inlineStr">
        <is>
          <t>Health care; Employment / workforce; Education; Soft skills / life skills; Community / belonging</t>
        </is>
      </c>
      <c r="C109" s="296" t="inlineStr">
        <is>
          <t>Project 658</t>
        </is>
      </c>
      <c r="D109" s="296" t="inlineStr">
        <is>
          <t>No</t>
        </is>
      </c>
      <c r="E109" s="296" t="inlineStr">
        <is>
          <t>Specialized</t>
        </is>
      </c>
      <c r="F109" s="296" t="inlineStr">
        <is>
          <t>An immigrant or refugee young adult or family needs culturally responsive education, vocation, health and community support.</t>
        </is>
      </c>
      <c r="G109" s="296" t="inlineStr">
        <is>
          <t>Immigrant and refugee individuals and families; each program has its own schedule and enrollment rules.</t>
        </is>
      </c>
      <c r="H109" s="296" t="inlineStr">
        <is>
          <t>English/education, vocational pathways, health and wellness activities, community connection and small-business support.</t>
        </is>
      </c>
      <c r="I109" s="296" t="inlineStr">
        <is>
          <t>Contact Project 658 or attend the relevant program registration listed on its site.</t>
        </is>
      </c>
      <c r="J109" s="296" t="str"/>
      <c r="K109" s="296" t="inlineStr">
        <is>
          <t>3646 Central Ave., Charlotte, NC 28205.</t>
        </is>
      </c>
      <c r="L109" s="296" t="inlineStr">
        <is>
          <t>Program availability and language-specific offerings change. Verify the exact class or service before referral.</t>
        </is>
      </c>
      <c r="M109" s="296" t="inlineStr">
        <is>
          <t>https://project658.com/</t>
        </is>
      </c>
      <c r="N109" s="328" t="n">
        <v>46239</v>
      </c>
      <c r="O109" s="296" t="inlineStr">
        <is>
          <t>Not contacted</t>
        </is>
      </c>
      <c r="P109" s="296" t="str"/>
      <c r="Q109" s="296" t="inlineStr">
        <is>
          <t>Charlotte / Mecklenburg</t>
        </is>
      </c>
      <c r="R109" s="296" t="inlineStr">
        <is>
          <t>Charlotte / Mecklenburg</t>
        </is>
      </c>
      <c r="S109" s="296" t="inlineStr">
        <is>
          <t>Located in or serving the requested roughly 30-mile Charlotte search area.</t>
        </is>
      </c>
      <c r="T109" s="219" t="n"/>
      <c r="U109" s="219" t="n"/>
      <c r="V109" s="221" t="n"/>
      <c r="W109" s="52" t="n"/>
      <c r="X109" s="52" t="n"/>
      <c r="Y109" s="52" t="n"/>
      <c r="Z109" s="52" t="n"/>
    </row>
    <row r="110" ht="72" customHeight="1" s="188">
      <c r="A110" s="296" t="n">
        <v>105</v>
      </c>
      <c r="B110" s="296" t="inlineStr">
        <is>
          <t>Housing / homelessness; Employment / workforce; Mentorship; Soft skills / life skills; Financial capability; Community / belonging</t>
        </is>
      </c>
      <c r="C110" s="296" t="inlineStr">
        <is>
          <t>The Harvest Center — CLT Passport</t>
        </is>
      </c>
      <c r="D110" s="296" t="inlineStr">
        <is>
          <t>No</t>
        </is>
      </c>
      <c r="E110" s="296" t="inlineStr">
        <is>
          <t>Specialized</t>
        </is>
      </c>
      <c r="F110" s="296" t="inlineStr">
        <is>
          <t>An adult experiencing situational homelessness needs a long-term, structured residential environment focused on whole-person stability.</t>
        </is>
      </c>
      <c r="G110" s="296" t="inlineStr">
        <is>
          <t>Adults accepted through the program’s screening and readiness process; not designed as same-day emergency shelter.</t>
        </is>
      </c>
      <c r="H110" s="296" t="inlineStr">
        <is>
          <t>A 12- to 18-month residential program with accountability, healthy community, spiritual formation, practical life development and occupational/financial growth.</t>
        </is>
      </c>
      <c r="I110" s="296" t="inlineStr">
        <is>
          <t>Use the Get Help process and complete the screening for CLT Passport.</t>
        </is>
      </c>
      <c r="J110" s="296" t="inlineStr">
        <is>
          <t>704-335-1616</t>
        </is>
      </c>
      <c r="K110" s="296" t="inlineStr">
        <is>
          <t>Charlotte; program campus/site details should be confirmed during intake.</t>
        </is>
      </c>
      <c r="L110" s="296" t="inlineStr">
        <is>
          <t>Not an emergency shelter. Admission depends on fit, willingness to participate and residential capacity.</t>
        </is>
      </c>
      <c r="M110" s="296" t="inlineStr">
        <is>
          <t>https://theharvestcenter.org/how-we-work/</t>
        </is>
      </c>
      <c r="N110" s="328" t="n">
        <v>46239</v>
      </c>
      <c r="O110" s="296" t="inlineStr">
        <is>
          <t>Not contacted</t>
        </is>
      </c>
      <c r="P110" s="296" t="str"/>
      <c r="Q110" s="296" t="inlineStr">
        <is>
          <t>Charlotte / Mecklenburg</t>
        </is>
      </c>
      <c r="R110" s="296" t="inlineStr">
        <is>
          <t>Charlotte / Mecklenburg</t>
        </is>
      </c>
      <c r="S110" s="296" t="inlineStr">
        <is>
          <t>Located in or serving the requested roughly 30-mile Charlotte search area.</t>
        </is>
      </c>
      <c r="T110" s="219" t="n"/>
      <c r="U110" s="219" t="n"/>
      <c r="V110" s="221" t="n"/>
      <c r="W110" s="52" t="n"/>
      <c r="X110" s="52" t="n"/>
      <c r="Y110" s="52" t="n"/>
      <c r="Z110" s="52" t="n"/>
    </row>
    <row r="111" ht="72" customHeight="1" s="188">
      <c r="A111" s="296" t="n">
        <v>106</v>
      </c>
      <c r="B111" s="296" t="inlineStr">
        <is>
          <t>Mentorship; Soft skills / life skills; Employment / workforce; Community / belonging</t>
        </is>
      </c>
      <c r="C111" s="296" t="inlineStr">
        <is>
          <t>BraveWorks</t>
        </is>
      </c>
      <c r="D111" s="296" t="inlineStr">
        <is>
          <t>No</t>
        </is>
      </c>
      <c r="E111" s="296" t="inlineStr">
        <is>
          <t>Specialized</t>
        </is>
      </c>
      <c r="F111" s="296" t="inlineStr">
        <is>
          <t>A woman affected by trauma, exploitation, poverty or major instability needs a supportive community and confidence-building pathway.</t>
        </is>
      </c>
      <c r="G111" s="296" t="inlineStr">
        <is>
          <t>Women accepted into BraveWorks’ current artisan/restoration programming; referral and program criteria apply.</t>
        </is>
      </c>
      <c r="H111" s="296" t="inlineStr">
        <is>
          <t>Trauma-informed support, creative and workplace skill-building, mentoring relationships, confidence and community.</t>
        </is>
      </c>
      <c r="I111" s="296" t="inlineStr">
        <is>
          <t>Contact BraveWorks to ask about current artisan program enrollment or partner referral.</t>
        </is>
      </c>
      <c r="J111" s="296" t="inlineStr">
        <is>
          <t>866-278-6894</t>
        </is>
      </c>
      <c r="K111" s="296" t="inlineStr">
        <is>
          <t>5301 Wilkinson Blvd., Charlotte, NC 28208.</t>
        </is>
      </c>
      <c r="L111" s="296" t="inlineStr">
        <is>
          <t>This is a specialized women’s restoration/workforce program, not emergency housing or clinical treatment.</t>
        </is>
      </c>
      <c r="M111" s="296" t="inlineStr">
        <is>
          <t>https://www.braveworks.org/</t>
        </is>
      </c>
      <c r="N111" s="328" t="n">
        <v>46239</v>
      </c>
      <c r="O111" s="296" t="inlineStr">
        <is>
          <t>Not contacted</t>
        </is>
      </c>
      <c r="P111" s="296" t="str"/>
      <c r="Q111" s="296" t="inlineStr">
        <is>
          <t>Charlotte / Mecklenburg</t>
        </is>
      </c>
      <c r="R111" s="296" t="inlineStr">
        <is>
          <t>Charlotte / Mecklenburg</t>
        </is>
      </c>
      <c r="S111" s="296" t="inlineStr">
        <is>
          <t>Located in or serving the requested roughly 30-mile Charlotte search area.</t>
        </is>
      </c>
      <c r="T111" s="219" t="n"/>
      <c r="U111" s="219" t="n"/>
      <c r="V111" s="221" t="n"/>
      <c r="W111" s="52" t="n"/>
      <c r="X111" s="52" t="n"/>
      <c r="Y111" s="52" t="n"/>
      <c r="Z111" s="52" t="n"/>
    </row>
    <row r="112" ht="72" customHeight="1" s="188">
      <c r="A112" s="296" t="n">
        <v>107</v>
      </c>
      <c r="B112" s="296" t="inlineStr">
        <is>
          <t>Legal / identity / safety; Employment / workforce; Mentorship; Soft skills / life skills; Community / belonging</t>
        </is>
      </c>
      <c r="C112" s="296" t="inlineStr">
        <is>
          <t>Changed Choices</t>
        </is>
      </c>
      <c r="D112" s="296" t="inlineStr">
        <is>
          <t>No</t>
        </is>
      </c>
      <c r="E112" s="296" t="inlineStr">
        <is>
          <t>Specialized</t>
        </is>
      </c>
      <c r="F112" s="296" t="inlineStr">
        <is>
          <t>A woman currently or formerly incarcerated needs long-term reentry case management, spiritual support and help rebuilding stability.</t>
        </is>
      </c>
      <c r="G112" s="296" t="inlineStr">
        <is>
          <t>Women impacted by incarceration from arrest through reentry; program relationship and individual criteria apply.</t>
        </is>
      </c>
      <c r="H112" s="296" t="inlineStr">
        <is>
          <t>Comprehensive case management, mentoring-oriented spiritual support and reentry assistance.</t>
        </is>
      </c>
      <c r="I112" s="296" t="inlineStr">
        <is>
          <t>Contact Changed Choices through its official site or local nonprofit profile and request a program screening.</t>
        </is>
      </c>
      <c r="J112" s="296" t="str"/>
      <c r="K112" s="296" t="inlineStr">
        <is>
          <t>Mecklenburg County / Charlotte.</t>
        </is>
      </c>
      <c r="L112" s="296" t="inlineStr">
        <is>
          <t>Public intake details are limited. Confirm current capacity, referral source and service stage before presenting it as available.</t>
        </is>
      </c>
      <c r="M112" s="296" t="inlineStr">
        <is>
          <t>https://changedchoices.org/</t>
        </is>
      </c>
      <c r="N112" s="328" t="n">
        <v>46239</v>
      </c>
      <c r="O112" s="296" t="inlineStr">
        <is>
          <t>Not contacted</t>
        </is>
      </c>
      <c r="P112" s="296" t="str"/>
      <c r="Q112" s="296" t="inlineStr">
        <is>
          <t>Charlotte / Mecklenburg</t>
        </is>
      </c>
      <c r="R112" s="296" t="inlineStr">
        <is>
          <t>Charlotte / Mecklenburg</t>
        </is>
      </c>
      <c r="S112" s="296" t="inlineStr">
        <is>
          <t>Located in or serving the requested roughly 30-mile Charlotte search area.</t>
        </is>
      </c>
      <c r="T112" s="219" t="n"/>
      <c r="U112" s="219" t="n"/>
      <c r="V112" s="221" t="n"/>
      <c r="W112" s="52" t="n"/>
      <c r="X112" s="52" t="n"/>
      <c r="Y112" s="52" t="n"/>
      <c r="Z112" s="52" t="n"/>
    </row>
    <row r="113" ht="72" customHeight="1" s="188">
      <c r="A113" s="296" t="n">
        <v>108</v>
      </c>
      <c r="B113" s="296" t="inlineStr">
        <is>
          <t>Mental health / recovery; Housing / homelessness; Employment / workforce; Soft skills / life skills; Financial capability; Community / belonging</t>
        </is>
      </c>
      <c r="C113" s="296" t="inlineStr">
        <is>
          <t>Charlotte Rescue Mission — Recovery &amp; Life Skills</t>
        </is>
      </c>
      <c r="D113" s="296" t="inlineStr">
        <is>
          <t>No</t>
        </is>
      </c>
      <c r="E113" s="296" t="inlineStr">
        <is>
          <t>Core</t>
        </is>
      </c>
      <c r="F113" s="296" t="inlineStr">
        <is>
          <t>An adult experiencing addiction and homelessness needs a free, faith-based residential recovery path and structured life rebuilding.</t>
        </is>
      </c>
      <c r="G113" s="296" t="inlineStr">
        <is>
          <t>Adults meeting the admissions criteria for Rebound (men) or Dove’s Nest (women); later life-skills programs generally serve program graduates.</t>
        </is>
      </c>
      <c r="H113" s="296" t="inlineStr">
        <is>
          <t>Residential recovery, counseling, spiritual support, financial literacy, education and a structured life-skills/vocational pathway.</t>
        </is>
      </c>
      <c r="I113" s="296" t="inlineStr">
        <is>
          <t>Contact Charlotte Rescue Mission admissions and ask for the appropriate gender-specific program.</t>
        </is>
      </c>
      <c r="J113" s="296" t="inlineStr">
        <is>
          <t>704-333-4673</t>
        </is>
      </c>
      <c r="K113" s="296" t="inlineStr">
        <is>
          <t>Charlotte; Rebound, Dove’s Nest and Community Matters Café campuses.</t>
        </is>
      </c>
      <c r="L113" s="296" t="inlineStr">
        <is>
          <t>Life Skills/Recovery Living are generally later stages after recovery programming, not stand-alone open workforce programs.</t>
        </is>
      </c>
      <c r="M113" s="296" t="inlineStr">
        <is>
          <t>https://charlotterescuemission.org/our-work/lifeskills/</t>
        </is>
      </c>
      <c r="N113" s="328" t="n">
        <v>46239</v>
      </c>
      <c r="O113" s="296" t="inlineStr">
        <is>
          <t>Not contacted</t>
        </is>
      </c>
      <c r="P113" s="296" t="str"/>
      <c r="Q113" s="296" t="inlineStr">
        <is>
          <t>Charlotte / Mecklenburg</t>
        </is>
      </c>
      <c r="R113" s="296" t="inlineStr">
        <is>
          <t>Charlotte / Mecklenburg</t>
        </is>
      </c>
      <c r="S113" s="296" t="inlineStr">
        <is>
          <t>Located in or serving the requested roughly 30-mile Charlotte search area.</t>
        </is>
      </c>
      <c r="T113" s="219" t="n"/>
      <c r="U113" s="219" t="n"/>
      <c r="V113" s="221" t="n"/>
      <c r="W113" s="52" t="n"/>
      <c r="X113" s="52" t="n"/>
      <c r="Y113" s="52" t="n"/>
      <c r="Z113" s="52" t="n"/>
    </row>
    <row r="114" ht="72" customHeight="1" s="188">
      <c r="A114" s="296" t="n">
        <v>109</v>
      </c>
      <c r="B114" s="296" t="inlineStr">
        <is>
          <t>Mental health / recovery; Housing / homelessness; Employment / workforce; Soft skills / life skills; Community / belonging</t>
        </is>
      </c>
      <c r="C114" s="296" t="inlineStr">
        <is>
          <t>Hope Haven</t>
        </is>
      </c>
      <c r="D114" s="296" t="inlineStr">
        <is>
          <t>No</t>
        </is>
      </c>
      <c r="E114" s="296" t="inlineStr">
        <is>
          <t>Core</t>
        </is>
      </c>
      <c r="F114" s="296" t="inlineStr">
        <is>
          <t>An adult or family affected by substance-use disorder needs long-term therapeutic-community recovery and independent-living support.</t>
        </is>
      </c>
      <c r="G114" s="296" t="inlineStr">
        <is>
          <t>Adults and families accepted through clinical/program screening; insurance, funding and residency rules should be confirmed.</t>
        </is>
      </c>
      <c r="H114" s="296" t="inlineStr">
        <is>
          <t>Therapeutic-community recovery, counseling, peer support, vocational development, independent-living assistance and housing planning.</t>
        </is>
      </c>
      <c r="I114" s="296" t="inlineStr">
        <is>
          <t>Call Hope Haven and request an admissions assessment.</t>
        </is>
      </c>
      <c r="J114" s="296" t="inlineStr">
        <is>
          <t>704-372-8809</t>
        </is>
      </c>
      <c r="K114" s="296" t="inlineStr">
        <is>
          <t>3815 N. Tryon St., Charlotte, NC 28206.</t>
        </is>
      </c>
      <c r="L114" s="296" t="inlineStr">
        <is>
          <t>This is structured treatment/recovery housing. Level of care and admission must be clinically and programmatically assessed.</t>
        </is>
      </c>
      <c r="M114" s="296" t="inlineStr">
        <is>
          <t>https://hopehaveninc.org/</t>
        </is>
      </c>
      <c r="N114" s="328" t="n">
        <v>46239</v>
      </c>
      <c r="O114" s="296" t="inlineStr">
        <is>
          <t>Not contacted</t>
        </is>
      </c>
      <c r="P114" s="296" t="str"/>
      <c r="Q114" s="296" t="inlineStr">
        <is>
          <t>Charlotte / Mecklenburg</t>
        </is>
      </c>
      <c r="R114" s="296" t="inlineStr">
        <is>
          <t>Charlotte / Mecklenburg</t>
        </is>
      </c>
      <c r="S114" s="296" t="inlineStr">
        <is>
          <t>Located in or serving the requested roughly 30-mile Charlotte search area.</t>
        </is>
      </c>
      <c r="T114" s="219" t="n"/>
      <c r="U114" s="219" t="n"/>
      <c r="V114" s="221" t="n"/>
      <c r="W114" s="52" t="n"/>
      <c r="X114" s="52" t="n"/>
      <c r="Y114" s="52" t="n"/>
      <c r="Z114" s="52" t="n"/>
    </row>
    <row r="115" ht="72" customHeight="1" s="188">
      <c r="A115" s="296" t="n">
        <v>110</v>
      </c>
      <c r="B115" s="296" t="inlineStr">
        <is>
          <t>Navigation / case management; Food / essentials; Soft skills / life skills; Financial capability; Community / belonging</t>
        </is>
      </c>
      <c r="C115" s="296" t="inlineStr">
        <is>
          <t>Ada Jenkins Center</t>
        </is>
      </c>
      <c r="D115" s="296" t="inlineStr">
        <is>
          <t>No</t>
        </is>
      </c>
      <c r="E115" s="296" t="inlineStr">
        <is>
          <t>Backup</t>
        </is>
      </c>
      <c r="F115" s="296" t="inlineStr">
        <is>
          <t>A northern Mecklenburg resident needs coordinated support with food, economic mobility, financial coaching or other basic needs.</t>
        </is>
      </c>
      <c r="G115" s="296" t="inlineStr">
        <is>
          <t>Residents within the center’s current northern Mecklenburg/Lake Norman service area; each service has separate eligibility.</t>
        </is>
      </c>
      <c r="H115" s="296" t="inlineStr">
        <is>
          <t>Integrated crisis assistance, food support, case management, economic-mobility coaching and financial/asset-building help.</t>
        </is>
      </c>
      <c r="I115" s="296" t="inlineStr">
        <is>
          <t>Call the center or use its client-services process for screening.</t>
        </is>
      </c>
      <c r="J115" s="296" t="inlineStr">
        <is>
          <t>704-896-0471</t>
        </is>
      </c>
      <c r="K115" s="296" t="inlineStr">
        <is>
          <t>212 Gamble St., Davidson, NC 28036.</t>
        </is>
      </c>
      <c r="L115" s="296" t="inlineStr">
        <is>
          <t>Service geography matters. Confirm the participant’s ZIP code and the current intake window.</t>
        </is>
      </c>
      <c r="M115" s="296" t="inlineStr">
        <is>
          <t>https://www.adajenkins.org/</t>
        </is>
      </c>
      <c r="N115" s="328" t="n">
        <v>46239</v>
      </c>
      <c r="O115" s="296" t="inlineStr">
        <is>
          <t>Not contacted</t>
        </is>
      </c>
      <c r="P115" s="296" t="str"/>
      <c r="Q115" s="296" t="inlineStr">
        <is>
          <t>Davidson / North Mecklenburg</t>
        </is>
      </c>
      <c r="R115" s="296" t="inlineStr">
        <is>
          <t>Surrounding communities</t>
        </is>
      </c>
      <c r="S115" s="296" t="inlineStr">
        <is>
          <t>Located in or serving the requested roughly 30-mile Charlotte search area.</t>
        </is>
      </c>
      <c r="T115" s="219" t="n"/>
      <c r="U115" s="219" t="n"/>
      <c r="V115" s="221" t="n"/>
      <c r="W115" s="52" t="n"/>
      <c r="X115" s="52" t="n"/>
      <c r="Y115" s="52" t="n"/>
      <c r="Z115" s="52" t="n"/>
    </row>
    <row r="116" ht="72" customHeight="1" s="188">
      <c r="A116" s="296" t="n">
        <v>111</v>
      </c>
      <c r="B116" s="296" t="inlineStr">
        <is>
          <t>Navigation / case management; Housing / homelessness; Food / essentials; Soft skills / life skills; Financial capability; Transportation; Parenting / family</t>
        </is>
      </c>
      <c r="C116" s="296" t="inlineStr">
        <is>
          <t>Matthews HELP Center</t>
        </is>
      </c>
      <c r="D116" s="296" t="inlineStr">
        <is>
          <t>No</t>
        </is>
      </c>
      <c r="E116" s="296" t="inlineStr">
        <is>
          <t>Core</t>
        </is>
      </c>
      <c r="F116" s="296" t="inlineStr">
        <is>
          <t>A resident of southeast Mecklenburg or nearby Union County has a recent crisis affecting rent, utilities, food, clothing, child care or transportation.</t>
        </is>
      </c>
      <c r="G116" s="296" t="inlineStr">
        <is>
          <t>Residents of current service-area ZIP codes 28079, 28104, 28105, 28211, 28226 or 28270 who meet crisis and documentation requirements.</t>
        </is>
      </c>
      <c r="H116" s="296" t="inlineStr">
        <is>
          <t>Rent, utility and child-care assistance; food, clothing and household support; transportation help; one-to-one budget and resource counseling.</t>
        </is>
      </c>
      <c r="I116" s="296" t="inlineStr">
        <is>
          <t>Complete the Client Inquiry Form or call for referral guidance.</t>
        </is>
      </c>
      <c r="J116" s="296" t="inlineStr">
        <is>
          <t>704-847-8383</t>
        </is>
      </c>
      <c r="K116" s="296" t="inlineStr">
        <is>
          <t>119 N. Ames St., Matthews, NC 28105.</t>
        </is>
      </c>
      <c r="L116" s="296" t="inlineStr">
        <is>
          <t>Funding and eligibility are ZIP-code and crisis-specific. Assistance is not guaranteed.</t>
        </is>
      </c>
      <c r="M116" s="296" t="inlineStr">
        <is>
          <t>https://matthewshelpcenter.org/services/</t>
        </is>
      </c>
      <c r="N116" s="328" t="n">
        <v>46239</v>
      </c>
      <c r="O116" s="296" t="inlineStr">
        <is>
          <t>Not contacted</t>
        </is>
      </c>
      <c r="P116" s="296" t="str"/>
      <c r="Q116" s="296" t="inlineStr">
        <is>
          <t>Matthews / Mecklenburg-Union</t>
        </is>
      </c>
      <c r="R116" s="296" t="inlineStr">
        <is>
          <t>Surrounding communities</t>
        </is>
      </c>
      <c r="S116" s="296" t="inlineStr">
        <is>
          <t>Located in or serving the requested roughly 30-mile Charlotte search area.</t>
        </is>
      </c>
      <c r="T116" s="219" t="n"/>
      <c r="U116" s="219" t="n"/>
      <c r="V116" s="221" t="n"/>
      <c r="W116" s="52" t="n"/>
      <c r="X116" s="52" t="n"/>
      <c r="Y116" s="52" t="n"/>
      <c r="Z116" s="52" t="n"/>
    </row>
    <row r="117" ht="72" customHeight="1" s="188">
      <c r="A117" s="296" t="n">
        <v>112</v>
      </c>
      <c r="B117" s="296" t="inlineStr">
        <is>
          <t>Navigation / case management; Food / essentials; Mentorship; Soft skills / life skills; Financial capability; Community / belonging</t>
        </is>
      </c>
      <c r="C117" s="296" t="inlineStr">
        <is>
          <t>Common Heart</t>
        </is>
      </c>
      <c r="D117" s="296" t="inlineStr">
        <is>
          <t>No</t>
        </is>
      </c>
      <c r="E117" s="296" t="inlineStr">
        <is>
          <t>Core</t>
        </is>
      </c>
      <c r="F117" s="296" t="inlineStr">
        <is>
          <t>A Union County resident needs food assistance, benefits navigation or a structured economic-empowerment program.</t>
        </is>
      </c>
      <c r="G117" s="296" t="inlineStr">
        <is>
          <t>Union County-area residents; each pantry, benefits or empowerment service has its own eligibility and schedule.</t>
        </is>
      </c>
      <c r="H117" s="296" t="inlineStr">
        <is>
          <t>Food pantries, benefits assistance, financial education, Getting Ahead/Staying Ahead groups and success coaching.</t>
        </is>
      </c>
      <c r="I117" s="296" t="inlineStr">
        <is>
          <t>Call or use the official Get Help/program pages to find the correct intake path.</t>
        </is>
      </c>
      <c r="J117" s="296" t="inlineStr">
        <is>
          <t>704-218-9060</t>
        </is>
      </c>
      <c r="K117" s="296" t="inlineStr">
        <is>
          <t>116 Business Park Dr., Indian Trail, NC 28079; Union County service area.</t>
        </is>
      </c>
      <c r="L117" s="296" t="inlineStr">
        <is>
          <t>Class cohorts and pantry schedules change. Confirm residency requirements and enrollment dates.</t>
        </is>
      </c>
      <c r="M117" s="296" t="inlineStr">
        <is>
          <t>https://commonheart.org/</t>
        </is>
      </c>
      <c r="N117" s="328" t="n">
        <v>46239</v>
      </c>
      <c r="O117" s="296" t="inlineStr">
        <is>
          <t>Not contacted</t>
        </is>
      </c>
      <c r="P117" s="296" t="str"/>
      <c r="Q117" s="296" t="inlineStr">
        <is>
          <t>Indian Trail / Union County</t>
        </is>
      </c>
      <c r="R117" s="296" t="inlineStr">
        <is>
          <t>Surrounding communities</t>
        </is>
      </c>
      <c r="S117" s="296" t="inlineStr">
        <is>
          <t>Located in or serving the requested roughly 30-mile Charlotte search area.</t>
        </is>
      </c>
      <c r="T117" s="219" t="n"/>
      <c r="U117" s="219" t="n"/>
      <c r="V117" s="221" t="n"/>
      <c r="W117" s="52" t="n"/>
      <c r="X117" s="52" t="n"/>
      <c r="Y117" s="52" t="n"/>
      <c r="Z117" s="52" t="n"/>
    </row>
    <row r="118" ht="72" customHeight="1" s="188">
      <c r="A118" s="296" t="n">
        <v>113</v>
      </c>
      <c r="B118" s="296" t="inlineStr">
        <is>
          <t>Housing / homelessness; Employment / workforce; Soft skills / life skills; Financial capability; Parenting / family; Community / belonging</t>
        </is>
      </c>
      <c r="C118" s="296" t="inlineStr">
        <is>
          <t>Cooperative Christian Ministry — Housing Program</t>
        </is>
      </c>
      <c r="D118" s="296" t="inlineStr">
        <is>
          <t>No</t>
        </is>
      </c>
      <c r="E118" s="296" t="inlineStr">
        <is>
          <t>Specialized</t>
        </is>
      </c>
      <c r="F118" s="296" t="inlineStr">
        <is>
          <t>A single mother with children needs transitional housing plus employment, financial and parenting development.</t>
        </is>
      </c>
      <c r="G118" s="296" t="inlineStr">
        <is>
          <t>Single women with children who can work or secure employment within 30 days and meet screening, fee, background and program requirements.</t>
        </is>
      </c>
      <c r="H118" s="296" t="inlineStr">
        <is>
          <t>Housing, case management, life-skills training, resume/employment assistance, parenting, financial literacy, counseling and wellness support.</t>
        </is>
      </c>
      <c r="I118" s="296" t="inlineStr">
        <is>
          <t>Apply through the housing page when applications are open.</t>
        </is>
      </c>
      <c r="J118" s="296" t="inlineStr">
        <is>
          <t>704-786-4709</t>
        </is>
      </c>
      <c r="K118" s="296" t="inlineStr">
        <is>
          <t>Concord, NC; main office 246 Country Club Dr. NE, Concord, NC 28025.</t>
        </is>
      </c>
      <c r="L118" s="296" t="inlineStr">
        <is>
          <t>The housing program does not maintain a traditional waitlist and may contact past applicants only when space is available.</t>
        </is>
      </c>
      <c r="M118" s="296" t="inlineStr">
        <is>
          <t>https://cooperativeministry.com/need-assistance/housing/</t>
        </is>
      </c>
      <c r="N118" s="328" t="n">
        <v>46239</v>
      </c>
      <c r="O118" s="296" t="inlineStr">
        <is>
          <t>Not contacted</t>
        </is>
      </c>
      <c r="P118" s="296" t="str"/>
      <c r="Q118" s="296" t="inlineStr">
        <is>
          <t>Concord / Cabarrus County</t>
        </is>
      </c>
      <c r="R118" s="296" t="inlineStr">
        <is>
          <t>Surrounding communities</t>
        </is>
      </c>
      <c r="S118" s="296" t="inlineStr">
        <is>
          <t>Located in or serving the requested roughly 30-mile Charlotte search area.</t>
        </is>
      </c>
      <c r="T118" s="219" t="n"/>
      <c r="U118" s="219" t="n"/>
      <c r="V118" s="221" t="n"/>
      <c r="W118" s="52" t="n"/>
      <c r="X118" s="52" t="n"/>
      <c r="Y118" s="52" t="n"/>
      <c r="Z118" s="52" t="n"/>
    </row>
    <row r="119" ht="72" customHeight="1" s="188">
      <c r="A119" s="296" t="n">
        <v>114</v>
      </c>
      <c r="B119" s="296" t="inlineStr">
        <is>
          <t>Housing / homelessness; Employment / workforce; Soft skills / life skills; Community / belonging</t>
        </is>
      </c>
      <c r="C119" s="296" t="inlineStr">
        <is>
          <t>Hope House Foundation</t>
        </is>
      </c>
      <c r="D119" s="296" t="inlineStr">
        <is>
          <t>No</t>
        </is>
      </c>
      <c r="E119" s="296" t="inlineStr">
        <is>
          <t>Specialized</t>
        </is>
      </c>
      <c r="F119" s="296" t="inlineStr">
        <is>
          <t>A single woman or woman with children experiencing situational homelessness needs transitional housing and support toward self-sufficiency.</t>
        </is>
      </c>
      <c r="G119" s="296" t="inlineStr">
        <is>
          <t>Women accepted through the Huntersville-area program’s screening; confirm household, work and safety criteria.</t>
        </is>
      </c>
      <c r="H119" s="296" t="inlineStr">
        <is>
          <t>Congregate transitional housing for up to roughly six months, support services and coaching toward stability and self-sufficiency.</t>
        </is>
      </c>
      <c r="I119" s="296" t="inlineStr">
        <is>
          <t>Contact Hope House Foundation and request a housing screening.</t>
        </is>
      </c>
      <c r="J119" s="296" t="inlineStr">
        <is>
          <t>704-992-1902</t>
        </is>
      </c>
      <c r="K119" s="296" t="inlineStr">
        <is>
          <t>15604 Northcross Dr., Huntersville, NC 28078.</t>
        </is>
      </c>
      <c r="L119" s="296" t="inlineStr">
        <is>
          <t>Small program with limited capacity; not same-day emergency shelter and not designed for every homelessness situation.</t>
        </is>
      </c>
      <c r="M119" s="296" t="inlineStr">
        <is>
          <t>https://hopehousefoundation.org/</t>
        </is>
      </c>
      <c r="N119" s="328" t="n">
        <v>46239</v>
      </c>
      <c r="O119" s="296" t="inlineStr">
        <is>
          <t>Not contacted</t>
        </is>
      </c>
      <c r="P119" s="296" t="str"/>
      <c r="Q119" s="296" t="inlineStr">
        <is>
          <t>Huntersville / North Mecklenburg</t>
        </is>
      </c>
      <c r="R119" s="296" t="inlineStr">
        <is>
          <t>Surrounding communities</t>
        </is>
      </c>
      <c r="S119" s="296" t="inlineStr">
        <is>
          <t>Located in or serving the requested roughly 30-mile Charlotte search area.</t>
        </is>
      </c>
      <c r="T119" s="219" t="n"/>
      <c r="U119" s="219" t="n"/>
      <c r="V119" s="221" t="n"/>
      <c r="W119" s="52" t="n"/>
      <c r="X119" s="52" t="n"/>
      <c r="Y119" s="52" t="n"/>
      <c r="Z119" s="52" t="n"/>
    </row>
    <row r="120" ht="72" customHeight="1" s="188">
      <c r="A120" s="296" t="n">
        <v>115</v>
      </c>
      <c r="B120" s="296" t="inlineStr">
        <is>
          <t>Housing / homelessness; Food / essentials; Employment / workforce; Education; Soft skills / life skills</t>
        </is>
      </c>
      <c r="C120" s="296" t="inlineStr">
        <is>
          <t>Community Shelter of Union County</t>
        </is>
      </c>
      <c r="D120" s="296" t="inlineStr">
        <is>
          <t>No</t>
        </is>
      </c>
      <c r="E120" s="296" t="inlineStr">
        <is>
          <t>Core</t>
        </is>
      </c>
      <c r="F120" s="296" t="inlineStr">
        <is>
          <t>A Union County adult or family is homeless or needs shelter, rehousing, food and employment support.</t>
        </is>
      </c>
      <c r="G120" s="296" t="inlineStr">
        <is>
          <t>People meeting the shelter or rehousing program’s homelessness and Union County-area criteria; program-specific screening applies.</t>
        </is>
      </c>
      <c r="H120" s="296" t="inlineStr">
        <is>
          <t>Emergency shelter, rapid rehousing, food programs, furniture support and an Employment Lab with GED, resume, job-search and career counseling.</t>
        </is>
      </c>
      <c r="I120" s="296" t="inlineStr">
        <is>
          <t>Call for shelter/rehousing intake; use the current application or waitlist instructions listed by the program.</t>
        </is>
      </c>
      <c r="J120" s="296" t="inlineStr">
        <is>
          <t>704-289-5300</t>
        </is>
      </c>
      <c r="K120" s="296" t="inlineStr">
        <is>
          <t>160 Meadow St., Monroe, NC 28110.</t>
        </is>
      </c>
      <c r="L120" s="296" t="inlineStr">
        <is>
          <t>Shelter and housing capacity are limited. Employment Lab access may be tied to shelter/program participation.</t>
        </is>
      </c>
      <c r="M120" s="296" t="inlineStr">
        <is>
          <t>https://unionshelter.org/how-we-help/overview.html</t>
        </is>
      </c>
      <c r="N120" s="328" t="n">
        <v>46239</v>
      </c>
      <c r="O120" s="296" t="inlineStr">
        <is>
          <t>Not contacted</t>
        </is>
      </c>
      <c r="P120" s="296" t="str"/>
      <c r="Q120" s="296" t="inlineStr">
        <is>
          <t>Monroe / Union County</t>
        </is>
      </c>
      <c r="R120" s="296" t="inlineStr">
        <is>
          <t>Surrounding communities</t>
        </is>
      </c>
      <c r="S120" s="296" t="inlineStr">
        <is>
          <t>Located in or serving the requested roughly 30-mile Charlotte search area.</t>
        </is>
      </c>
      <c r="T120" s="219" t="n"/>
      <c r="U120" s="219" t="n"/>
      <c r="V120" s="221" t="n"/>
      <c r="W120" s="52" t="n"/>
      <c r="X120" s="52" t="n"/>
      <c r="Y120" s="52" t="n"/>
      <c r="Z120" s="52" t="n"/>
    </row>
    <row r="121" ht="72" customHeight="1" s="188">
      <c r="A121" s="296" t="n">
        <v>116</v>
      </c>
      <c r="B121" s="296" t="inlineStr">
        <is>
          <t>Legal / identity / safety; Housing / homelessness; Mental health / recovery; Soft skills / life skills; Parenting / family</t>
        </is>
      </c>
      <c r="C121" s="296" t="inlineStr">
        <is>
          <t>Turning Point — Union County</t>
        </is>
      </c>
      <c r="D121" s="296" t="inlineStr">
        <is>
          <t>No</t>
        </is>
      </c>
      <c r="E121" s="296" t="inlineStr">
        <is>
          <t>Core</t>
        </is>
      </c>
      <c r="F121" s="296" t="inlineStr">
        <is>
          <t>A survivor in Union County needs domestic-violence or sexual-assault crisis support, shelter, advocacy or case management.</t>
        </is>
      </c>
      <c r="G121" s="296" t="inlineStr">
        <is>
          <t>Survivors of domestic violence, sexual assault or child abuse; program and safety screening apply.</t>
        </is>
      </c>
      <c r="H121" s="296" t="inlineStr">
        <is>
          <t>24/7 crisis lines, confidential shelter, counseling, support groups, legal advocacy, transportation coordination, case management and transitional housing for eligible graduates.</t>
        </is>
      </c>
      <c r="I121" s="296" t="inlineStr">
        <is>
          <t>Call the domestic-violence or sexual-assault crisis line.</t>
        </is>
      </c>
      <c r="J121" s="296" t="inlineStr">
        <is>
          <t>704-283-7233 / 704-283-7770</t>
        </is>
      </c>
      <c r="K121" s="296" t="inlineStr">
        <is>
          <t>Monroe / Union County; shelter location is confidential.</t>
        </is>
      </c>
      <c r="L121" s="296" t="inlineStr">
        <is>
          <t>Call 911 for immediate danger. Transitional housing is not an open-entry service and depends on program completion and capacity.</t>
        </is>
      </c>
      <c r="M121" s="296" t="inlineStr">
        <is>
          <t>https://turningpointnc.org/our-services/</t>
        </is>
      </c>
      <c r="N121" s="328" t="n">
        <v>46239</v>
      </c>
      <c r="O121" s="296" t="inlineStr">
        <is>
          <t>Not contacted</t>
        </is>
      </c>
      <c r="P121" s="296" t="str"/>
      <c r="Q121" s="296" t="inlineStr">
        <is>
          <t>Monroe / Union County</t>
        </is>
      </c>
      <c r="R121" s="296" t="inlineStr">
        <is>
          <t>Surrounding communities</t>
        </is>
      </c>
      <c r="S121" s="296" t="inlineStr">
        <is>
          <t>Located in or serving the requested roughly 30-mile Charlotte search area.</t>
        </is>
      </c>
      <c r="T121" s="219" t="n"/>
      <c r="U121" s="219" t="n"/>
      <c r="V121" s="221" t="n"/>
      <c r="W121" s="52" t="n"/>
      <c r="X121" s="52" t="n"/>
      <c r="Y121" s="52" t="n"/>
      <c r="Z121" s="52" t="n"/>
    </row>
    <row r="122" ht="72" customHeight="1" s="188">
      <c r="A122" s="296" t="n">
        <v>117</v>
      </c>
      <c r="B122" s="296" t="inlineStr">
        <is>
          <t>Health care; Food / essentials; Soft skills / life skills</t>
        </is>
      </c>
      <c r="C122" s="296" t="inlineStr">
        <is>
          <t>The Community Free Clinic — Cabarrus County</t>
        </is>
      </c>
      <c r="D122" s="296" t="inlineStr">
        <is>
          <t>No</t>
        </is>
      </c>
      <c r="E122" s="296" t="inlineStr">
        <is>
          <t>Specialized</t>
        </is>
      </c>
      <c r="F122" s="296" t="inlineStr">
        <is>
          <t>An uninsured Cabarrus County resident needs free primary care, chronic-disease support or medication assistance.</t>
        </is>
      </c>
      <c r="G122" s="296" t="inlineStr">
        <is>
          <t>Eligible uninsured Cabarrus County residents who complete annual enrollment.</t>
        </is>
      </c>
      <c r="H122" s="296" t="inlineStr">
        <is>
          <t>Free primary care, chronic-condition management, diagnostics, medication assistance, lifestyle coaching, food pharmacy and coordinated specialty referrals.</t>
        </is>
      </c>
      <c r="I122" s="296" t="inlineStr">
        <is>
          <t>Check eligibility and complete the Get Care application.</t>
        </is>
      </c>
      <c r="J122" s="296" t="inlineStr">
        <is>
          <t>704-782-0650</t>
        </is>
      </c>
      <c r="K122" s="296" t="inlineStr">
        <is>
          <t>528-A Lake Concord Rd. NE, Concord, NC 28025.</t>
        </is>
      </c>
      <c r="L122" s="296" t="inlineStr">
        <is>
          <t>County residency and uninsured status are central eligibility requirements; specialty and dental services depend on capacity.</t>
        </is>
      </c>
      <c r="M122" s="296" t="inlineStr">
        <is>
          <t>https://www.communityfreeclinic.org/services</t>
        </is>
      </c>
      <c r="N122" s="328" t="n">
        <v>46239</v>
      </c>
      <c r="O122" s="296" t="inlineStr">
        <is>
          <t>Not contacted</t>
        </is>
      </c>
      <c r="P122" s="296" t="str"/>
      <c r="Q122" s="296" t="inlineStr">
        <is>
          <t>Concord / Cabarrus County</t>
        </is>
      </c>
      <c r="R122" s="296" t="inlineStr">
        <is>
          <t>Surrounding communities</t>
        </is>
      </c>
      <c r="S122" s="296" t="inlineStr">
        <is>
          <t>Located in or serving the requested roughly 30-mile Charlotte search area.</t>
        </is>
      </c>
      <c r="T122" s="219" t="n"/>
      <c r="U122" s="219" t="n"/>
      <c r="V122" s="221" t="n"/>
      <c r="W122" s="52" t="n"/>
      <c r="X122" s="52" t="n"/>
      <c r="Y122" s="52" t="n"/>
      <c r="Z122" s="52" t="n"/>
    </row>
    <row r="123" ht="72" customHeight="1" s="188">
      <c r="A123" s="296" t="n">
        <v>118</v>
      </c>
      <c r="B123" s="296" t="inlineStr">
        <is>
          <t>Legal / identity / safety; Housing / homelessness; Mental health / recovery</t>
        </is>
      </c>
      <c r="C123" s="296" t="inlineStr">
        <is>
          <t>CVAN — Cabarrus Victims Assistance Network</t>
        </is>
      </c>
      <c r="D123" s="296" t="inlineStr">
        <is>
          <t>No</t>
        </is>
      </c>
      <c r="E123" s="296" t="inlineStr">
        <is>
          <t>Core</t>
        </is>
      </c>
      <c r="F123" s="296" t="inlineStr">
        <is>
          <t>A person in Cabarrus County is experiencing domestic violence and needs confidential crisis help, shelter or advocacy.</t>
        </is>
      </c>
      <c r="G123" s="296" t="inlineStr">
        <is>
          <t>Domestic-violence survivors and their children; safety and program screening apply.</t>
        </is>
      </c>
      <c r="H123" s="296" t="inlineStr">
        <is>
          <t>24/7 crisis assistance, shelter, court advocacy, support services and community referrals.</t>
        </is>
      </c>
      <c r="I123" s="296" t="inlineStr">
        <is>
          <t>Call the CVAN crisis line.</t>
        </is>
      </c>
      <c r="J123" s="296" t="inlineStr">
        <is>
          <t>704-788-1108</t>
        </is>
      </c>
      <c r="K123" s="296" t="inlineStr">
        <is>
          <t>Cabarrus County; shelter location is confidential.</t>
        </is>
      </c>
      <c r="L123" s="296" t="inlineStr">
        <is>
          <t>Call 911 for immediate danger. Shelter placement is capacity- and safety-dependent.</t>
        </is>
      </c>
      <c r="M123" s="296" t="inlineStr">
        <is>
          <t>https://cvan.org/</t>
        </is>
      </c>
      <c r="N123" s="328" t="n">
        <v>46239</v>
      </c>
      <c r="O123" s="296" t="inlineStr">
        <is>
          <t>Not contacted</t>
        </is>
      </c>
      <c r="P123" s="296" t="str"/>
      <c r="Q123" s="296" t="inlineStr">
        <is>
          <t>Concord / Cabarrus County</t>
        </is>
      </c>
      <c r="R123" s="296" t="inlineStr">
        <is>
          <t>Surrounding communities</t>
        </is>
      </c>
      <c r="S123" s="296" t="inlineStr">
        <is>
          <t>Located in or serving the requested roughly 30-mile Charlotte search area.</t>
        </is>
      </c>
      <c r="T123" s="219" t="n"/>
      <c r="U123" s="219" t="n"/>
      <c r="V123" s="221" t="n"/>
      <c r="W123" s="52" t="n"/>
      <c r="X123" s="52" t="n"/>
      <c r="Y123" s="52" t="n"/>
      <c r="Z123" s="52" t="n"/>
    </row>
    <row r="124" ht="72" customHeight="1" s="188">
      <c r="A124" s="296" t="n">
        <v>119</v>
      </c>
      <c r="B124" s="296" t="inlineStr">
        <is>
          <t>Legal / identity / safety; Housing / homelessness; Mental health / recovery; Community / belonging</t>
        </is>
      </c>
      <c r="C124" s="296" t="inlineStr">
        <is>
          <t>Hope United Survivor Network</t>
        </is>
      </c>
      <c r="D124" s="296" t="inlineStr">
        <is>
          <t>No</t>
        </is>
      </c>
      <c r="E124" s="296" t="inlineStr">
        <is>
          <t>Core</t>
        </is>
      </c>
      <c r="F124" s="296" t="inlineStr">
        <is>
          <t>A survivor in Gaston County needs coordinated help after domestic violence, sexual assault, child abuse or human trafficking.</t>
        </is>
      </c>
      <c r="G124" s="296" t="inlineStr">
        <is>
          <t>Survivors and families served through Gaston County’s family-justice and partner network; service criteria vary.</t>
        </is>
      </c>
      <c r="H124" s="296" t="inlineStr">
        <is>
          <t>Co-located advocacy, safety planning, law-enforcement and legal connections, counseling referrals, shelter linkage and victim support.</t>
        </is>
      </c>
      <c r="I124" s="296" t="inlineStr">
        <is>
          <t>Contact Hope United Survivor Network or the appropriate crisis partner; call 911 for immediate danger.</t>
        </is>
      </c>
      <c r="J124" s="296" t="str"/>
      <c r="K124" s="296" t="inlineStr">
        <is>
          <t>Gaston County / Gastonia.</t>
        </is>
      </c>
      <c r="L124" s="296" t="inlineStr">
        <is>
          <t>Services are coordinated across partner agencies; exact intake and after-hours procedures vary by need.</t>
        </is>
      </c>
      <c r="M124" s="296" t="inlineStr">
        <is>
          <t>https://www.gastongov.com/1180/Hope-United-Survivor-Network</t>
        </is>
      </c>
      <c r="N124" s="328" t="n">
        <v>46239</v>
      </c>
      <c r="O124" s="296" t="inlineStr">
        <is>
          <t>Not contacted</t>
        </is>
      </c>
      <c r="P124" s="296" t="str"/>
      <c r="Q124" s="296" t="inlineStr">
        <is>
          <t>Gastonia / Gaston County</t>
        </is>
      </c>
      <c r="R124" s="296" t="inlineStr">
        <is>
          <t>Surrounding communities</t>
        </is>
      </c>
      <c r="S124" s="296" t="inlineStr">
        <is>
          <t>Located in or serving the requested roughly 30-mile Charlotte search area.</t>
        </is>
      </c>
      <c r="T124" s="219" t="n"/>
      <c r="U124" s="219" t="n"/>
      <c r="V124" s="221" t="n"/>
      <c r="W124" s="52" t="n"/>
      <c r="X124" s="52" t="n"/>
      <c r="Y124" s="52" t="n"/>
      <c r="Z124" s="52" t="n"/>
    </row>
    <row r="125" ht="72" customHeight="1" s="188">
      <c r="A125" s="296" t="n">
        <v>120</v>
      </c>
      <c r="B125" s="296" t="inlineStr">
        <is>
          <t>Housing / homelessness; Soft skills / life skills; Parenting / family; Community / belonging</t>
        </is>
      </c>
      <c r="C125" s="296" t="inlineStr">
        <is>
          <t>The Pilgrims' Inn</t>
        </is>
      </c>
      <c r="D125" s="296" t="inlineStr">
        <is>
          <t>No</t>
        </is>
      </c>
      <c r="E125" s="296" t="inlineStr">
        <is>
          <t>Specialized</t>
        </is>
      </c>
      <c r="F125" s="296" t="inlineStr">
        <is>
          <t>A woman with children in the Rock Hill area needs emergency or supportive housing plus family-stability services.</t>
        </is>
      </c>
      <c r="G125" s="296" t="inlineStr">
        <is>
          <t>Women and children meeting the South Carolina program’s homelessness and intake criteria.</t>
        </is>
      </c>
      <c r="H125" s="296" t="inlineStr">
        <is>
          <t>Shelter and supportive services for women and children, with case management and connections to longer-term stability resources.</t>
        </is>
      </c>
      <c r="I125" s="296" t="inlineStr">
        <is>
          <t>Call The Pilgrims’ Inn and request current shelter or program intake information.</t>
        </is>
      </c>
      <c r="J125" s="296" t="inlineStr">
        <is>
          <t>803-327-4227</t>
        </is>
      </c>
      <c r="K125" s="296" t="inlineStr">
        <is>
          <t>Rock Hill, SC; York County service area.</t>
        </is>
      </c>
      <c r="L125" s="296" t="inlineStr">
        <is>
          <t>Cross-state eligibility and capacity must be confirmed. This is primarily for women and children, not unaccompanied adult men.</t>
        </is>
      </c>
      <c r="M125" s="296" t="inlineStr">
        <is>
          <t>https://www.pilgrimsinn.org/</t>
        </is>
      </c>
      <c r="N125" s="328" t="n">
        <v>46239</v>
      </c>
      <c r="O125" s="296" t="inlineStr">
        <is>
          <t>Not contacted</t>
        </is>
      </c>
      <c r="P125" s="296" t="str"/>
      <c r="Q125" s="296" t="inlineStr">
        <is>
          <t>Rock Hill / York County</t>
        </is>
      </c>
      <c r="R125" s="296" t="inlineStr">
        <is>
          <t>Surrounding communities</t>
        </is>
      </c>
      <c r="S125" s="296" t="inlineStr">
        <is>
          <t>Located in or serving the requested roughly 30-mile Charlotte search area.</t>
        </is>
      </c>
      <c r="T125" s="219" t="n"/>
      <c r="U125" s="219" t="n"/>
      <c r="V125" s="221" t="n"/>
      <c r="W125" s="52" t="n"/>
      <c r="X125" s="52" t="n"/>
      <c r="Y125" s="52" t="n"/>
      <c r="Z125" s="52" t="n"/>
    </row>
    <row r="126" ht="72" customHeight="1" s="188">
      <c r="A126" s="296" t="n">
        <v>121</v>
      </c>
      <c r="B126" s="296" t="inlineStr">
        <is>
          <t>Benefits / financial assistance; Housing / homelessness; Employment / workforce; Soft skills / life skills; Financial capability; Parenting / family; Community / belonging</t>
        </is>
      </c>
      <c r="C126" s="296" t="inlineStr">
        <is>
          <t>Freedom Communities</t>
        </is>
      </c>
      <c r="D126" s="296" t="inlineStr">
        <is>
          <t>No</t>
        </is>
      </c>
      <c r="E126" s="296" t="inlineStr">
        <is>
          <t>Specialized</t>
        </is>
      </c>
      <c r="F126" s="296" t="inlineStr">
        <is>
          <t>A parent living in West Charlotte’s Freedom Drive corridor needs a place-based upward-mobility program connecting housing, work, finances and family stability.</t>
        </is>
      </c>
      <c r="G126" s="296" t="inlineStr">
        <is>
          <t>Programs are geographically and household-specific. Moms Moving Forward, for example, has age, ZIP-code, parenting, work, education and lease criteria.</t>
        </is>
      </c>
      <c r="H126" s="296" t="inlineStr">
        <is>
          <t>Cohort-based family-stability, employment, financial, education and housing support in the Freedom Drive corridor.</t>
        </is>
      </c>
      <c r="I126" s="296" t="inlineStr">
        <is>
          <t>Review the relevant program’s eligibility and contact Freedom Communities before referral.</t>
        </is>
      </c>
      <c r="J126" s="296" t="str"/>
      <c r="K126" s="296" t="inlineStr">
        <is>
          <t>Tuck Opportunity Hub, 3501 Tuckaseegee Rd., Charlotte, NC 28208; Freedom Drive corridor.</t>
        </is>
      </c>
      <c r="L126" s="296" t="inlineStr">
        <is>
          <t>Not a general citywide resource. Many programs require corridor residency, parenting status and other specific qualifications.</t>
        </is>
      </c>
      <c r="M126" s="296" t="inlineStr">
        <is>
          <t>https://www.freedomcommunities.com/what-we-do</t>
        </is>
      </c>
      <c r="N126" s="328" t="n">
        <v>46239</v>
      </c>
      <c r="O126" s="296" t="inlineStr">
        <is>
          <t>Not contacted</t>
        </is>
      </c>
      <c r="P126" s="296" t="str"/>
      <c r="Q126" s="296" t="inlineStr">
        <is>
          <t>West Charlotte / Mecklenburg</t>
        </is>
      </c>
      <c r="R126" s="296" t="inlineStr">
        <is>
          <t>Charlotte / Mecklenburg</t>
        </is>
      </c>
      <c r="S126" s="296" t="inlineStr">
        <is>
          <t>Located in or serving the requested roughly 30-mile Charlotte search area.</t>
        </is>
      </c>
      <c r="T126" s="219" t="n"/>
      <c r="U126" s="219" t="n"/>
      <c r="V126" s="221" t="n"/>
      <c r="W126" s="52" t="n"/>
      <c r="X126" s="52" t="n"/>
      <c r="Y126" s="52" t="n"/>
      <c r="Z126" s="52" t="n"/>
    </row>
    <row r="127" ht="72" customHeight="1" s="188">
      <c r="A127" s="296" t="n">
        <v>122</v>
      </c>
      <c r="B127" s="296" t="inlineStr">
        <is>
          <t>Mentorship; Soft skills / life skills; Employment / workforce; Education; Community / belonging</t>
        </is>
      </c>
      <c r="C127" s="296" t="inlineStr">
        <is>
          <t>GenOne</t>
        </is>
      </c>
      <c r="D127" s="296" t="inlineStr">
        <is>
          <t>No</t>
        </is>
      </c>
      <c r="E127" s="296" t="inlineStr">
        <is>
          <t>Specialized</t>
        </is>
      </c>
      <c r="F127" s="296" t="inlineStr">
        <is>
          <t>A first-generation student already in or entering the GenOne pipeline needs long-term college, career and social-emotional support.</t>
        </is>
      </c>
      <c r="G127" s="296" t="inlineStr">
        <is>
          <t>The program identifies high-performing rising eighth graders from selected Title I schools and continues supporting enrolled scholars through college and employment.</t>
        </is>
      </c>
      <c r="H127" s="296" t="inlineStr">
        <is>
          <t>College and career advising, mentoring, social-emotional growth, scholarship preparation, internships and college-persistence support.</t>
        </is>
      </c>
      <c r="I127" s="296" t="inlineStr">
        <is>
          <t>Review the application process for an eligible rising eighth grader or contact GenOne about support for an existing scholar/alumnus.</t>
        </is>
      </c>
      <c r="J127" s="296" t="str"/>
      <c r="K127" s="296" t="inlineStr">
        <is>
          <t>East Charlotte; program locations include 3800 Shamrock Dr., Charlotte, NC 28215.</t>
        </is>
      </c>
      <c r="L127" s="296" t="inlineStr">
        <is>
          <t>Not open-entry for a new 18–24-year-old. It is useful for younger transition planning or young adults already enrolled as GenOne scholars.</t>
        </is>
      </c>
      <c r="M127" s="296" t="inlineStr">
        <is>
          <t>https://www.genoneclt.org/mission-vision</t>
        </is>
      </c>
      <c r="N127" s="328" t="n">
        <v>46239</v>
      </c>
      <c r="O127" s="296" t="inlineStr">
        <is>
          <t>Not contacted</t>
        </is>
      </c>
      <c r="P127" s="296" t="str"/>
      <c r="Q127" s="296" t="inlineStr">
        <is>
          <t>Charlotte / Mecklenburg</t>
        </is>
      </c>
      <c r="R127" s="296" t="inlineStr">
        <is>
          <t>Charlotte / Mecklenburg</t>
        </is>
      </c>
      <c r="S127" s="296" t="inlineStr">
        <is>
          <t>Located in or serving the requested roughly 30-mile Charlotte search area.</t>
        </is>
      </c>
      <c r="T127" s="219" t="n"/>
      <c r="U127" s="219" t="n"/>
      <c r="V127" s="221" t="n"/>
      <c r="W127" s="52" t="n"/>
      <c r="X127" s="52" t="n"/>
      <c r="Y127" s="52" t="n"/>
      <c r="Z127" s="52" t="n"/>
    </row>
    <row r="128" ht="72" customHeight="1" s="188">
      <c r="A128" s="296" t="n">
        <v>123</v>
      </c>
      <c r="B128" s="296" t="inlineStr">
        <is>
          <t>Mentorship; Soft skills / life skills; Employment / workforce; Education; Financial capability; Community / belonging</t>
        </is>
      </c>
      <c r="C128" s="296" t="inlineStr">
        <is>
          <t>Carolina Youth Coalition</t>
        </is>
      </c>
      <c r="D128" s="296" t="inlineStr">
        <is>
          <t>No</t>
        </is>
      </c>
      <c r="E128" s="296" t="inlineStr">
        <is>
          <t>Specialized</t>
        </is>
      </c>
      <c r="F128" s="296" t="inlineStr">
        <is>
          <t>A high-school student or existing college fellow needs intensive college access, mentoring, leadership and persistence support.</t>
        </is>
      </c>
      <c r="G128" s="296" t="inlineStr">
        <is>
          <t>New applicants are generally Charlotte-area students in grades 9–12 meeting academic, first-generation and financial-need priorities; college support continues for enrolled fellows.</t>
        </is>
      </c>
      <c r="H128" s="296" t="inlineStr">
        <is>
          <t>One-to-one mentors, college admissions and financial-aid guidance, leadership and self-advocacy development, career exploration and college-persistence support.</t>
        </is>
      </c>
      <c r="I128" s="296" t="inlineStr">
        <is>
          <t>Apply during the high-school admissions period or contact the program about an existing fellow.</t>
        </is>
      </c>
      <c r="J128" s="296" t="str"/>
      <c r="K128" s="296" t="inlineStr">
        <is>
          <t>East and southwest Charlotte campuses.</t>
        </is>
      </c>
      <c r="L128" s="296" t="inlineStr">
        <is>
          <t>Not a general open-entry program for young adults who were not enrolled during high school. College mentoring is primarily for program fellows.</t>
        </is>
      </c>
      <c r="M128" s="296" t="inlineStr">
        <is>
          <t>https://www.carolinayouth.org/programs</t>
        </is>
      </c>
      <c r="N128" s="328" t="n">
        <v>46239</v>
      </c>
      <c r="O128" s="296" t="inlineStr">
        <is>
          <t>Not contacted</t>
        </is>
      </c>
      <c r="P128" s="296" t="str"/>
      <c r="Q128" s="296" t="inlineStr">
        <is>
          <t>Charlotte / Mecklenburg</t>
        </is>
      </c>
      <c r="R128" s="296" t="inlineStr">
        <is>
          <t>Charlotte / Mecklenburg</t>
        </is>
      </c>
      <c r="S128" s="296" t="inlineStr">
        <is>
          <t>Located in or serving the requested roughly 30-mile Charlotte search area.</t>
        </is>
      </c>
      <c r="T128" s="219" t="n"/>
      <c r="U128" s="219" t="n"/>
      <c r="V128" s="221" t="n"/>
      <c r="W128" s="52" t="n"/>
      <c r="X128" s="52" t="n"/>
      <c r="Y128" s="52" t="n"/>
      <c r="Z128" s="52" t="n"/>
    </row>
    <row r="129" ht="72" customHeight="1" s="188">
      <c r="A129" s="296" t="n">
        <v>124</v>
      </c>
      <c r="B129" s="296" t="inlineStr">
        <is>
          <t>Mentorship; Soft skills / life skills; Education; Community / belonging</t>
        </is>
      </c>
      <c r="C129" s="296" t="inlineStr">
        <is>
          <t>Right Moves for Youth</t>
        </is>
      </c>
      <c r="D129" s="296" t="inlineStr">
        <is>
          <t>No</t>
        </is>
      </c>
      <c r="E129" s="296" t="inlineStr">
        <is>
          <t>Specialized</t>
        </is>
      </c>
      <c r="F129" s="296" t="inlineStr">
        <is>
          <t>A middle- or high-school student needs school-based group mentoring, social-emotional learning and graduation support.</t>
        </is>
      </c>
      <c r="G129" s="296" t="inlineStr">
        <is>
          <t>Students enrolled in participating Charlotte-Mecklenburg middle and high schools; school/program referral rules apply.</t>
        </is>
      </c>
      <c r="H129" s="296" t="inlineStr">
        <is>
          <t>Group mentoring, social-emotional and life-skills development, academic support and positive-adult relationships.</t>
        </is>
      </c>
      <c r="I129" s="296" t="inlineStr">
        <is>
          <t>Ask the student’s school or Right Moves for Youth whether a group is available at that campus.</t>
        </is>
      </c>
      <c r="J129" s="296" t="str"/>
      <c r="K129" s="296" t="inlineStr">
        <is>
          <t>Charlotte-Mecklenburg Schools / Charlotte.</t>
        </is>
      </c>
      <c r="L129" s="296" t="inlineStr">
        <is>
          <t>Primarily a school-age prevention program, not a service a new 18–24-year-old can usually enter after leaving high school.</t>
        </is>
      </c>
      <c r="M129" s="296" t="inlineStr">
        <is>
          <t>https://rightmovesforyouth.org/</t>
        </is>
      </c>
      <c r="N129" s="328" t="n">
        <v>46239</v>
      </c>
      <c r="O129" s="296" t="inlineStr">
        <is>
          <t>Not contacted</t>
        </is>
      </c>
      <c r="P129" s="296" t="str"/>
      <c r="Q129" s="296" t="inlineStr">
        <is>
          <t>Charlotte / Mecklenburg</t>
        </is>
      </c>
      <c r="R129" s="296" t="inlineStr">
        <is>
          <t>Charlotte / Mecklenburg</t>
        </is>
      </c>
      <c r="S129" s="296" t="inlineStr">
        <is>
          <t>Located in or serving the requested roughly 30-mile Charlotte search area.</t>
        </is>
      </c>
      <c r="T129" s="219" t="n"/>
      <c r="U129" s="219" t="n"/>
      <c r="V129" s="221" t="n"/>
      <c r="W129" s="52" t="n"/>
      <c r="X129" s="52" t="n"/>
      <c r="Y129" s="52" t="n"/>
      <c r="Z129" s="52" t="n"/>
    </row>
    <row r="130" ht="72" customHeight="1" s="188">
      <c r="A130" s="296" t="n">
        <v>125</v>
      </c>
      <c r="B130" s="296" t="inlineStr">
        <is>
          <t>Mentorship; Soft skills / life skills; Employment / workforce; Education; Entrepreneurship; Community / belonging</t>
        </is>
      </c>
      <c r="C130" s="296" t="inlineStr">
        <is>
          <t>Do Greater Charlotte — Sparkhouse</t>
        </is>
      </c>
      <c r="D130" s="296" t="inlineStr">
        <is>
          <t>No</t>
        </is>
      </c>
      <c r="E130" s="296" t="inlineStr">
        <is>
          <t>Specialized</t>
        </is>
      </c>
      <c r="F130" s="296" t="inlineStr">
        <is>
          <t>A teen or emerging young adult wants creative technology, entrepreneurship, mentorship and leadership exposure.</t>
        </is>
      </c>
      <c r="G130" s="296" t="inlineStr">
        <is>
          <t>Program ages vary; many current offerings focus on middle/high-school students and young people roughly ages 13–19.</t>
        </is>
      </c>
      <c r="H130" s="296" t="inlineStr">
        <is>
          <t>Creative technology labs, entrepreneurship, career exposure, project-based learning, mentors and community experiences.</t>
        </is>
      </c>
      <c r="I130" s="296" t="inlineStr">
        <is>
          <t>Review the current Sparkhouse/program calendar and enrollment age before referring.</t>
        </is>
      </c>
      <c r="J130" s="296" t="str"/>
      <c r="K130" s="296" t="inlineStr">
        <is>
          <t>Charlotte locations have included 2400 Greenland Ave. and Uptown programming.</t>
        </is>
      </c>
      <c r="L130" s="296" t="inlineStr">
        <is>
          <t>Most programs are youth-focused and may not accept a new participant over 19. Verify the current offering and age range.</t>
        </is>
      </c>
      <c r="M130" s="296" t="inlineStr">
        <is>
          <t>https://dogreater.org/</t>
        </is>
      </c>
      <c r="N130" s="328" t="n">
        <v>46239</v>
      </c>
      <c r="O130" s="296" t="inlineStr">
        <is>
          <t>Not contacted</t>
        </is>
      </c>
      <c r="P130" s="296" t="str"/>
      <c r="Q130" s="296" t="inlineStr">
        <is>
          <t>Charlotte / Mecklenburg</t>
        </is>
      </c>
      <c r="R130" s="296" t="inlineStr">
        <is>
          <t>Charlotte / Mecklenburg</t>
        </is>
      </c>
      <c r="S130" s="296" t="inlineStr">
        <is>
          <t>Located in or serving the requested roughly 30-mile Charlotte search area.</t>
        </is>
      </c>
      <c r="T130" s="219" t="n"/>
      <c r="U130" s="219" t="n"/>
      <c r="V130" s="221" t="n"/>
      <c r="W130" s="52" t="n"/>
      <c r="X130" s="52" t="n"/>
      <c r="Y130" s="52" t="n"/>
      <c r="Z130" s="52" t="n"/>
    </row>
    <row r="131" ht="72" customHeight="1" s="188">
      <c r="A131" s="296" t="n">
        <v>126</v>
      </c>
      <c r="B131" s="296" t="inlineStr">
        <is>
          <t>Employment / workforce; Soft skills / life skills; Legal / identity / safety; Community / belonging</t>
        </is>
      </c>
      <c r="C131" s="296" t="inlineStr">
        <is>
          <t>Latin American Coalition</t>
        </is>
      </c>
      <c r="D131" s="296" t="inlineStr">
        <is>
          <t>No</t>
        </is>
      </c>
      <c r="E131" s="296" t="inlineStr">
        <is>
          <t>Core</t>
        </is>
      </c>
      <c r="F131" s="296" t="inlineStr">
        <is>
          <t>A Latino immigrant young adult or family needs bilingual workforce, legal, family-wellness or community support.</t>
        </is>
      </c>
      <c r="G131" s="296" t="inlineStr">
        <is>
          <t>Latino immigrant community members; eligibility differs across workforce, legal and family programs.</t>
        </is>
      </c>
      <c r="H131" s="296" t="inlineStr">
        <is>
          <t>Bilingual workforce development, job readiness, workers’ rights and immigration legal services, family wellness and community navigation.</t>
        </is>
      </c>
      <c r="I131" s="296" t="inlineStr">
        <is>
          <t>Contact the Coalition or select the appropriate program on its website.</t>
        </is>
      </c>
      <c r="J131" s="296" t="str"/>
      <c r="K131" s="296" t="inlineStr">
        <is>
          <t>Charlotte, NC 28205.</t>
        </is>
      </c>
      <c r="L131" s="296" t="inlineStr">
        <is>
          <t>Not every service is open at all times; legal and financial assistance have separate intake and eligibility processes.</t>
        </is>
      </c>
      <c r="M131" s="296" t="inlineStr">
        <is>
          <t>https://latinamericancoalition.org/</t>
        </is>
      </c>
      <c r="N131" s="328" t="n">
        <v>46239</v>
      </c>
      <c r="O131" s="296" t="inlineStr">
        <is>
          <t>Not contacted</t>
        </is>
      </c>
      <c r="P131" s="296" t="str"/>
      <c r="Q131" s="296" t="inlineStr">
        <is>
          <t>Charlotte / Mecklenburg</t>
        </is>
      </c>
      <c r="R131" s="296" t="inlineStr">
        <is>
          <t>Charlotte / Mecklenburg</t>
        </is>
      </c>
      <c r="S131" s="296" t="inlineStr">
        <is>
          <t>Located in or serving the requested roughly 30-mile Charlotte search area.</t>
        </is>
      </c>
      <c r="T131" s="219" t="n"/>
      <c r="U131" s="219" t="n"/>
      <c r="V131" s="221" t="n"/>
      <c r="W131" s="52" t="n"/>
      <c r="X131" s="52" t="n"/>
      <c r="Y131" s="52" t="n"/>
      <c r="Z131" s="52" t="n"/>
    </row>
    <row r="132" ht="72" customHeight="1" s="188">
      <c r="A132" s="296" t="n">
        <v>127</v>
      </c>
      <c r="B132" s="296" t="inlineStr">
        <is>
          <t>Employment / workforce; Education; Soft skills / life skills; Community / belonging</t>
        </is>
      </c>
      <c r="C132" s="296" t="inlineStr">
        <is>
          <t>International House</t>
        </is>
      </c>
      <c r="D132" s="296" t="inlineStr">
        <is>
          <t>No</t>
        </is>
      </c>
      <c r="E132" s="296" t="inlineStr">
        <is>
          <t>Core</t>
        </is>
      </c>
      <c r="F132" s="296" t="inlineStr">
        <is>
          <t>An immigrant or international young adult needs English instruction, tutoring, citizenship education or community integration.</t>
        </is>
      </c>
      <c r="G132" s="296" t="inlineStr">
        <is>
          <t>Immigrants and international community members; class levels, schedules and registration requirements vary.</t>
        </is>
      </c>
      <c r="H132" s="296" t="inlineStr">
        <is>
          <t>Free adult English classes, tutoring, conversation practice, cultural/community programs and other immigrant-support services.</t>
        </is>
      </c>
      <c r="I132" s="296" t="inlineStr">
        <is>
          <t>Review Adult Education registration, complete the placement process and confirm the next session.</t>
        </is>
      </c>
      <c r="J132" s="296" t="inlineStr">
        <is>
          <t>704-333-8099</t>
        </is>
      </c>
      <c r="K132" s="296" t="inlineStr">
        <is>
          <t>1611 E. 7th St., Charlotte, NC 28204; additional class sites may be used.</t>
        </is>
      </c>
      <c r="L132" s="296" t="inlineStr">
        <is>
          <t>Classes run in sessions and fill. Language instruction supports workforce readiness but is not direct job placement.</t>
        </is>
      </c>
      <c r="M132" s="296" t="inlineStr">
        <is>
          <t>https://www.ihclt.org/adult-education</t>
        </is>
      </c>
      <c r="N132" s="328" t="n">
        <v>46239</v>
      </c>
      <c r="O132" s="296" t="inlineStr">
        <is>
          <t>Not contacted</t>
        </is>
      </c>
      <c r="P132" s="296" t="str"/>
      <c r="Q132" s="296" t="inlineStr">
        <is>
          <t>Charlotte / Mecklenburg</t>
        </is>
      </c>
      <c r="R132" s="296" t="inlineStr">
        <is>
          <t>Charlotte / Mecklenburg</t>
        </is>
      </c>
      <c r="S132" s="296" t="inlineStr">
        <is>
          <t>Located in or serving the requested roughly 30-mile Charlotte search area.</t>
        </is>
      </c>
      <c r="T132" s="223" t="n"/>
      <c r="U132" s="223" t="n"/>
      <c r="V132" s="225" t="n"/>
      <c r="W132" s="52" t="n"/>
      <c r="X132" s="52" t="n"/>
      <c r="Y132" s="52" t="n"/>
      <c r="Z132" s="52" t="n"/>
    </row>
    <row r="133" ht="72" customHeight="1" s="188">
      <c r="A133" s="296" t="n">
        <v>128</v>
      </c>
      <c r="B133" s="296" t="inlineStr">
        <is>
          <t>Mental health / recovery; Housing / homelessness; Employment / workforce; Soft skills / life skills; Faith / spiritual support</t>
        </is>
      </c>
      <c r="C133" s="296" t="inlineStr">
        <is>
          <t>The Salvation Army — Charlotte Adult Rehabilitation Center</t>
        </is>
      </c>
      <c r="D133" s="296" t="inlineStr">
        <is>
          <t>No</t>
        </is>
      </c>
      <c r="E133" s="296" t="inlineStr">
        <is>
          <t>Specialized</t>
        </is>
      </c>
      <c r="F133" s="296" t="inlineStr">
        <is>
          <t>A young adult with alcohol or substance-use concerns needs a structured residential recovery environment with work and life-skills development.</t>
        </is>
      </c>
      <c r="G133" s="296" t="inlineStr">
        <is>
          <t>Adults accepted through program intake; confirm the Charlotte center's current age, medical, gender and admission requirements.</t>
        </is>
      </c>
      <c r="H133" s="296" t="inlineStr">
        <is>
          <t>Residential housing, faith-based recovery support, work therapy, group and individual counseling, spiritual direction, life-skills development and employment preparation.</t>
        </is>
      </c>
      <c r="I133" s="296" t="inlineStr">
        <is>
          <t>Call the Charlotte Adult Rehabilitation Center for an intake screening.</t>
        </is>
      </c>
      <c r="J133" s="296" t="inlineStr">
        <is>
          <t>704-332-1171</t>
        </is>
      </c>
      <c r="K133" s="296" t="inlineStr">
        <is>
          <t>1023 Central Ave., Charlotte, NC 28204.</t>
        </is>
      </c>
      <c r="L133" s="296" t="inlineStr">
        <is>
          <t>Not emergency detox or hospital-level treatment. Admission is not guaranteed and local restrictions should be confirmed directly.</t>
        </is>
      </c>
      <c r="M133" s="296" t="inlineStr">
        <is>
          <t>https://southernusa.salvationarmy.org/arc-south/charlotte</t>
        </is>
      </c>
      <c r="N133" s="328" t="n">
        <v>46239</v>
      </c>
      <c r="O133" s="296" t="inlineStr">
        <is>
          <t>Not contacted</t>
        </is>
      </c>
      <c r="P133" s="296" t="inlineStr">
        <is>
          <t>Added from Charlotte Young Adult Resource Database; current official program information verified.</t>
        </is>
      </c>
      <c r="Q133" s="296" t="inlineStr">
        <is>
          <t>Charlotte / Mecklenburg</t>
        </is>
      </c>
      <c r="R133" s="296" t="inlineStr">
        <is>
          <t>Charlotte / Mecklenburg</t>
        </is>
      </c>
      <c r="S133" s="296" t="inlineStr">
        <is>
          <t>Located in Charlotte within the requested roughly 30-mile service area.</t>
        </is>
      </c>
      <c r="T133" s="52" t="n"/>
      <c r="U133" s="52" t="n"/>
      <c r="V133" s="52" t="n"/>
      <c r="W133" s="52" t="n"/>
      <c r="X133" s="52" t="n"/>
      <c r="Y133" s="52" t="n"/>
      <c r="Z133" s="52" t="n"/>
    </row>
    <row r="134" ht="72" customHeight="1" s="188">
      <c r="A134" s="296" t="n">
        <v>129</v>
      </c>
      <c r="B134" s="296" t="inlineStr">
        <is>
          <t>Food / essentials; Parenting / family; Community / belonging</t>
        </is>
      </c>
      <c r="C134" s="296" t="inlineStr">
        <is>
          <t>Hearts &amp; Hands Food Pantry</t>
        </is>
      </c>
      <c r="D134" s="296" t="inlineStr">
        <is>
          <t>No</t>
        </is>
      </c>
      <c r="E134" s="296" t="inlineStr">
        <is>
          <t>Core</t>
        </is>
      </c>
      <c r="F134" s="296" t="inlineStr">
        <is>
          <t>A young adult or household needs emergency groceries, hygiene items, baby supplies or pet supplies.</t>
        </is>
      </c>
      <c r="G134" s="296" t="inlineStr">
        <is>
          <t>Food pickup is by appointment; first-time visitors should bring photo identification and proof of residence. Delivery has additional eligibility criteria.</t>
        </is>
      </c>
      <c r="H134" s="296" t="inlineStr">
        <is>
          <t>Shelf-stable and perishable groceries, personal-care products, diapers and formula, pet supplies, curbside pickup and limited delivery.</t>
        </is>
      </c>
      <c r="I134" s="296" t="inlineStr">
        <is>
          <t>Schedule an appointment through the Get Help page; call or text with questions.</t>
        </is>
      </c>
      <c r="J134" s="296" t="inlineStr">
        <is>
          <t>980-292-0357; text 980-292-0010; Spanish 980-292-0387</t>
        </is>
      </c>
      <c r="K134" s="296" t="inlineStr">
        <is>
          <t>4040 Chesapeake Dr., Charlotte, NC 28216.</t>
        </is>
      </c>
      <c r="L134" s="296" t="inlineStr">
        <is>
          <t>Service is appointment-based. Delivery is limited to households meeting published criteria; no-show and rescheduling rules apply.</t>
        </is>
      </c>
      <c r="M134" s="296" t="inlineStr">
        <is>
          <t>https://www.heartsandhandsfoodpantry.com/get-help</t>
        </is>
      </c>
      <c r="N134" s="328" t="n">
        <v>46239</v>
      </c>
      <c r="O134" s="296" t="inlineStr">
        <is>
          <t>Not contacted</t>
        </is>
      </c>
      <c r="P134" s="296" t="inlineStr">
        <is>
          <t>Added from Charlotte Young Adult Resource Database; current official service and contact information verified.</t>
        </is>
      </c>
      <c r="Q134" s="296" t="inlineStr">
        <is>
          <t>Charlotte / Mecklenburg</t>
        </is>
      </c>
      <c r="R134" s="296" t="inlineStr">
        <is>
          <t>Charlotte / Mecklenburg</t>
        </is>
      </c>
      <c r="S134" s="296" t="inlineStr">
        <is>
          <t>Located in Charlotte within the requested roughly 30-mile service area.</t>
        </is>
      </c>
      <c r="T134" s="52" t="n"/>
      <c r="U134" s="52" t="n"/>
      <c r="V134" s="52" t="n"/>
      <c r="W134" s="52" t="n"/>
      <c r="X134" s="52" t="n"/>
      <c r="Y134" s="52" t="n"/>
      <c r="Z134" s="52" t="n"/>
    </row>
    <row r="135" ht="72" customHeight="1" s="188">
      <c r="A135" s="296" t="n">
        <v>130</v>
      </c>
      <c r="B135" s="296" t="inlineStr">
        <is>
          <t>Food / essentials; Community / belonging</t>
        </is>
      </c>
      <c r="C135" s="296" t="inlineStr">
        <is>
          <t>Hope Street Food Pantry</t>
        </is>
      </c>
      <c r="D135" s="296" t="inlineStr">
        <is>
          <t>No</t>
        </is>
      </c>
      <c r="E135" s="296" t="inlineStr">
        <is>
          <t>Backup</t>
        </is>
      </c>
      <c r="F135" s="296" t="inlineStr">
        <is>
          <t>A young adult or household needs free groceries through a north Charlotte pantry or mobile distribution.</t>
        </is>
      </c>
      <c r="G135" s="296" t="inlineStr">
        <is>
          <t>Community food assistance; follow the current distribution procedures and capacity rules.</t>
        </is>
      </c>
      <c r="H135" s="296" t="inlineStr">
        <is>
          <t>Fresh and shelf-stable groceries through the main pantry and mobile distributions at Charlotte Mecklenburg Library locations.</t>
        </is>
      </c>
      <c r="I135" s="296" t="inlineStr">
        <is>
          <t>Use the official Get Help page for current distribution locations and times.</t>
        </is>
      </c>
      <c r="J135" s="296" t="inlineStr">
        <is>
          <t>704-584-9073</t>
        </is>
      </c>
      <c r="K135" s="296" t="inlineStr">
        <is>
          <t>4100 Johnston Oehler Rd., Charlotte, NC 28269; mobile library distributions also offered.</t>
        </is>
      </c>
      <c r="L135" s="296" t="inlineStr">
        <is>
          <t>High demand can cause the parking lot or line to close before the published end time. Dates and mobile locations change.</t>
        </is>
      </c>
      <c r="M135" s="296" t="inlineStr">
        <is>
          <t>https://hopestreetfoodpantry.com/get-help/</t>
        </is>
      </c>
      <c r="N135" s="328" t="n">
        <v>46239</v>
      </c>
      <c r="O135" s="296" t="inlineStr">
        <is>
          <t>Not contacted</t>
        </is>
      </c>
      <c r="P135" s="296" t="inlineStr">
        <is>
          <t>Added from Charlotte Young Adult Resource Database; current official distribution information verified.</t>
        </is>
      </c>
      <c r="Q135" s="296" t="inlineStr">
        <is>
          <t>Charlotte / Mecklenburg</t>
        </is>
      </c>
      <c r="R135" s="296" t="inlineStr">
        <is>
          <t>Charlotte / Mecklenburg</t>
        </is>
      </c>
      <c r="S135" s="296" t="inlineStr">
        <is>
          <t>Located in Charlotte within the requested roughly 30-mile service area.</t>
        </is>
      </c>
      <c r="T135" s="52" t="n"/>
      <c r="U135" s="52" t="n"/>
      <c r="V135" s="52" t="n"/>
      <c r="W135" s="52" t="n"/>
      <c r="X135" s="52" t="n"/>
      <c r="Y135" s="52" t="n"/>
      <c r="Z135" s="52" t="n"/>
    </row>
    <row r="136" ht="72" customHeight="1" s="188">
      <c r="A136" s="296" t="n">
        <v>131</v>
      </c>
      <c r="B136" s="296" t="inlineStr">
        <is>
          <t>Food / essentials; Faith / spiritual support; Community / belonging</t>
        </is>
      </c>
      <c r="C136" s="296" t="inlineStr">
        <is>
          <t>The Final Harvest Ministries — Kingdom Kitchen</t>
        </is>
      </c>
      <c r="D136" s="296" t="inlineStr">
        <is>
          <t>No</t>
        </is>
      </c>
      <c r="E136" s="296" t="inlineStr">
        <is>
          <t>Backup</t>
        </is>
      </c>
      <c r="F136" s="296" t="inlineStr">
        <is>
          <t>A young adult needs a free prepared weekday meal near west Charlotte.</t>
        </is>
      </c>
      <c r="G136" s="296" t="inlineStr">
        <is>
          <t>People in need of a meal; confirm the current serving schedule before traveling.</t>
        </is>
      </c>
      <c r="H136" s="296" t="inlineStr">
        <is>
          <t>Free weekday sandwiches, fruit and hot meals through a church-based community kitchen.</t>
        </is>
      </c>
      <c r="I136" s="296" t="inlineStr">
        <is>
          <t>Visit during the current Kingdom Kitchen serving period or call the ministry to confirm the schedule.</t>
        </is>
      </c>
      <c r="J136" s="296" t="inlineStr">
        <is>
          <t>704-817-8585</t>
        </is>
      </c>
      <c r="K136" s="296" t="inlineStr">
        <is>
          <t>1200 Alleghany St., Charlotte, NC 28208.</t>
        </is>
      </c>
      <c r="L136" s="296" t="inlineStr">
        <is>
          <t>This is a small church-based meal ministry rather than a comprehensive food-benefits program. Published timing should be confirmed.</t>
        </is>
      </c>
      <c r="M136" s="296" t="inlineStr">
        <is>
          <t>https://thefinalharvest.net/kingdom-kitchen</t>
        </is>
      </c>
      <c r="N136" s="328" t="n">
        <v>46239</v>
      </c>
      <c r="O136" s="296" t="inlineStr">
        <is>
          <t>Not contacted</t>
        </is>
      </c>
      <c r="P136" s="296" t="inlineStr">
        <is>
          <t>Added from Charlotte Young Adult Resource Database; replaced a third-party listing with the ministry's official page.</t>
        </is>
      </c>
      <c r="Q136" s="296" t="inlineStr">
        <is>
          <t>Charlotte / Mecklenburg</t>
        </is>
      </c>
      <c r="R136" s="296" t="inlineStr">
        <is>
          <t>Charlotte / Mecklenburg</t>
        </is>
      </c>
      <c r="S136" s="296" t="inlineStr">
        <is>
          <t>Located in Charlotte within the requested roughly 30-mile service area.</t>
        </is>
      </c>
      <c r="T136" s="52" t="n"/>
      <c r="U136" s="52" t="n"/>
      <c r="V136" s="52" t="n"/>
      <c r="W136" s="52" t="n"/>
      <c r="X136" s="52" t="n"/>
      <c r="Y136" s="52" t="n"/>
      <c r="Z136" s="52" t="n"/>
    </row>
    <row r="137" ht="72" customHeight="1" s="188">
      <c r="A137" s="296" t="n">
        <v>132</v>
      </c>
      <c r="B137" s="296" t="inlineStr">
        <is>
          <t>Foster care; Education; Mentorship; Soft skills / life skills; Community / belonging</t>
        </is>
      </c>
      <c r="C137" s="296" t="inlineStr">
        <is>
          <t>Livingstone College — H.O.P.E. Emancipation Project</t>
        </is>
      </c>
      <c r="D137" s="296" t="inlineStr">
        <is>
          <t>Yes</t>
        </is>
      </c>
      <c r="E137" s="296" t="inlineStr">
        <is>
          <t>Specialized</t>
        </is>
      </c>
      <c r="F137" s="296" t="inlineStr">
        <is>
          <t>A teenager or young adult emancipating from foster care is interested in attending Livingstone College.</t>
        </is>
      </c>
      <c r="G137" s="296" t="inlineStr">
        <is>
          <t>Foster-care or emancipated students interested in Livingstone College; admission and project requirements must be confirmed.</t>
        </is>
      </c>
      <c r="H137" s="296" t="inlineStr">
        <is>
          <t>A foster-specific college recruitment and support pathway developed with Home4Me to help aging-out students pursue college education.</t>
        </is>
      </c>
      <c r="I137" s="296" t="inlineStr">
        <is>
          <t>Complete the official interest form or contact Nailah McDowell at Livingstone College.</t>
        </is>
      </c>
      <c r="J137" s="296" t="inlineStr">
        <is>
          <t>704-216-6255</t>
        </is>
      </c>
      <c r="K137" s="296" t="inlineStr">
        <is>
          <t>Livingstone College, Salisbury, NC; approximately 45 miles from Uptown Charlotte.</t>
        </is>
      </c>
      <c r="L137" s="296" t="inlineStr">
        <is>
          <t>Outside the 30-mile local radius. The public page does not clearly define every financial, housing or retention benefit; confirm current support before enrollment.</t>
        </is>
      </c>
      <c r="M137" s="296" t="inlineStr">
        <is>
          <t>https://livingstone.edu/h-o-p-e/</t>
        </is>
      </c>
      <c r="N137" s="328" t="n">
        <v>46239</v>
      </c>
      <c r="O137" s="296" t="inlineStr">
        <is>
          <t>Not contacted</t>
        </is>
      </c>
      <c r="P137" s="296" t="inlineStr">
        <is>
          <t>Current name replaces the document's 'Livingstone Center for Aging Out.' Contact: nmcdowell@livingstone.edu.</t>
        </is>
      </c>
      <c r="Q137" s="296" t="inlineStr">
        <is>
          <t>Salisbury / Rowan County</t>
        </is>
      </c>
      <c r="R137" s="296" t="inlineStr">
        <is>
          <t>Statewide / national</t>
        </is>
      </c>
      <c r="S137" s="296" t="inlineStr">
        <is>
          <t>Outside the roughly 30-mile radius but retained because it is a directly relevant foster-care-specific college pathway.</t>
        </is>
      </c>
      <c r="T137" s="52" t="n"/>
      <c r="U137" s="52" t="n"/>
      <c r="V137" s="52" t="n"/>
      <c r="W137" s="52" t="n"/>
      <c r="X137" s="52" t="n"/>
      <c r="Y137" s="52" t="n"/>
      <c r="Z137" s="52" t="n"/>
    </row>
    <row r="138" ht="72" customHeight="1" s="188">
      <c r="A138" s="296" t="n">
        <v>133</v>
      </c>
      <c r="B138" s="296" t="inlineStr">
        <is>
          <t>Employment / workforce; Education; Soft skills / life skills</t>
        </is>
      </c>
      <c r="C138" s="296" t="inlineStr">
        <is>
          <t>OMITT Trade School</t>
        </is>
      </c>
      <c r="D138" s="296" t="inlineStr">
        <is>
          <t>No</t>
        </is>
      </c>
      <c r="E138" s="296" t="inlineStr">
        <is>
          <t>Specialized</t>
        </is>
      </c>
      <c r="F138" s="296" t="inlineStr">
        <is>
          <t>A young adult wants hands-on skilled-trades training and employment preparation in the Charlotte area.</t>
        </is>
      </c>
      <c r="G138" s="296" t="inlineStr">
        <is>
          <t>Students of all ages; course prerequisites, tuition and financial-assistance options vary by program.</t>
        </is>
      </c>
      <c r="H138" s="296" t="inlineStr">
        <is>
          <t>Vocational training, nationally certified installation, maintenance and repair coursework, career services and employment preparation.</t>
        </is>
      </c>
      <c r="I138" s="296" t="inlineStr">
        <is>
          <t>Complete the online contact form or attend a free information session to discuss training and financial assistance.</t>
        </is>
      </c>
      <c r="J138" s="296" t="inlineStr">
        <is>
          <t>704-248-0837</t>
        </is>
      </c>
      <c r="K138" s="296" t="inlineStr">
        <is>
          <t>101 W. Sugar Creek Rd., Charlotte, NC 28213.</t>
        </is>
      </c>
      <c r="L138" s="296" t="inlineStr">
        <is>
          <t>The document lists HVAC, welding, electrical, carpentry, forklift and facilities-maintenance training, but current course availability must be confirmed directly.</t>
        </is>
      </c>
      <c r="M138" s="296" t="inlineStr">
        <is>
          <t>https://www.omitttradeschool.com/</t>
        </is>
      </c>
      <c r="N138" s="328" t="n">
        <v>46239</v>
      </c>
      <c r="O138" s="296" t="inlineStr">
        <is>
          <t>Not contacted</t>
        </is>
      </c>
      <c r="P138" s="296" t="inlineStr">
        <is>
          <t>Added from Charlotte Young Adult Resource Database; current official enrollment and career-service information verified.</t>
        </is>
      </c>
      <c r="Q138" s="296" t="inlineStr">
        <is>
          <t>Charlotte / Mecklenburg</t>
        </is>
      </c>
      <c r="R138" s="296" t="inlineStr">
        <is>
          <t>Charlotte / Mecklenburg</t>
        </is>
      </c>
      <c r="S138" s="296" t="inlineStr">
        <is>
          <t>Located in Charlotte within the requested roughly 30-mile service area.</t>
        </is>
      </c>
      <c r="T138" s="52" t="n"/>
      <c r="U138" s="52" t="n"/>
      <c r="V138" s="52" t="n"/>
      <c r="W138" s="52" t="n"/>
      <c r="X138" s="52" t="n"/>
      <c r="Y138" s="52" t="n"/>
      <c r="Z138" s="52" t="n"/>
    </row>
    <row r="139" ht="72" customHeight="1" s="188">
      <c r="A139" s="296" t="n">
        <v>134</v>
      </c>
      <c r="B139" s="296" t="inlineStr">
        <is>
          <t>Employment / workforce; Education; Mentorship; Soft skills / life skills</t>
        </is>
      </c>
      <c r="C139" s="296" t="inlineStr">
        <is>
          <t>BuildStrong Academy of Charlotte</t>
        </is>
      </c>
      <c r="D139" s="296" t="inlineStr">
        <is>
          <t>No</t>
        </is>
      </c>
      <c r="E139" s="296" t="inlineStr">
        <is>
          <t>Verify</t>
        </is>
      </c>
      <c r="F139" s="296" t="inlineStr">
        <is>
          <t>A young adult wants tuition-free construction training with professional development, mentoring and job support.</t>
        </is>
      </c>
      <c r="G139" s="296" t="inlineStr">
        <is>
          <t>Current Charlotte cohort requirements are determined by Home Builders Institute; confirm enrollment and class availability.</t>
        </is>
      </c>
      <c r="H139" s="296" t="inlineStr">
        <is>
          <t>Tuition-free construction career education, professional development, mentoring and ongoing support.</t>
        </is>
      </c>
      <c r="I139" s="296" t="inlineStr">
        <is>
          <t>Use the official Charlotte enrollment page and request current cohort information.</t>
        </is>
      </c>
      <c r="J139" s="296" t="inlineStr">
        <is>
          <t>202-371-0600 (HBI national office)</t>
        </is>
      </c>
      <c r="K139" s="296" t="inlineStr">
        <is>
          <t>Charlotte program; current class location and schedule should be confirmed.</t>
        </is>
      </c>
      <c r="L139" s="296" t="inlineStr">
        <is>
          <t>The official Charlotte page currently says upcoming classes and academy updates are coming soon. Do not promise an active cohort until HBI confirms it.</t>
        </is>
      </c>
      <c r="M139" s="296" t="inlineStr">
        <is>
          <t>https://hbi.org/buildstrong-charlotte-2/</t>
        </is>
      </c>
      <c r="N139" s="328" t="n">
        <v>46239</v>
      </c>
      <c r="O139" s="296" t="inlineStr">
        <is>
          <t>Not contacted</t>
        </is>
      </c>
      <c r="P139" s="296" t="inlineStr">
        <is>
          <t>Added from Charlotte Young Adult Resource Database. The old address was not carried forward because current official location details were not published.</t>
        </is>
      </c>
      <c r="Q139" s="296" t="inlineStr">
        <is>
          <t>Charlotte / Mecklenburg</t>
        </is>
      </c>
      <c r="R139" s="296" t="inlineStr">
        <is>
          <t>Charlotte / Mecklenburg</t>
        </is>
      </c>
      <c r="S139" s="296" t="inlineStr">
        <is>
          <t>Charlotte program, but current cohort location and schedule require confirmation.</t>
        </is>
      </c>
      <c r="T139" s="52" t="n"/>
      <c r="U139" s="52" t="n"/>
      <c r="V139" s="52" t="n"/>
      <c r="W139" s="52" t="n"/>
      <c r="X139" s="52" t="n"/>
      <c r="Y139" s="52" t="n"/>
      <c r="Z139" s="52" t="n"/>
    </row>
    <row r="140" ht="72" customHeight="1" s="188">
      <c r="A140" s="296" t="n">
        <v>135</v>
      </c>
      <c r="B140" s="296" t="inlineStr">
        <is>
          <t>Mentorship; Soft skills / life skills; Mental health / recovery; Disability support; Faith / spiritual support; Community / belonging</t>
        </is>
      </c>
      <c r="C140" s="296" t="inlineStr">
        <is>
          <t>Agape Acres</t>
        </is>
      </c>
      <c r="D140" s="296" t="inlineStr">
        <is>
          <t>Partial</t>
        </is>
      </c>
      <c r="E140" s="296" t="inlineStr">
        <is>
          <t>Verify</t>
        </is>
      </c>
      <c r="F140" s="296" t="inlineStr">
        <is>
          <t>A foster-connected or trauma-affected young person may benefit from equine-assisted mentoring and goal-focused life-skills development.</t>
        </is>
      </c>
      <c r="G140" s="296" t="inlineStr">
        <is>
          <t>Public materials describe children and teens, including youth in or adopted from foster care and people with special needs. Confirm whether an 18-year-old the program participant can enroll.</t>
        </is>
      </c>
      <c r="H140" s="296" t="inlineStr">
        <is>
          <t>One-to-one mentoring with trained adults and rescue horses, equine-assisted activities, chosen life-skill goals and special-needs programming.</t>
        </is>
      </c>
      <c r="I140" s="296" t="inlineStr">
        <is>
          <t>Call or email to discuss age, goals, program fit and current openings.</t>
        </is>
      </c>
      <c r="J140" s="296" t="inlineStr">
        <is>
          <t>704-577-3488</t>
        </is>
      </c>
      <c r="K140" s="296" t="inlineStr">
        <is>
          <t>Steele Creek area of southwest Charlotte.</t>
        </is>
      </c>
      <c r="L140" s="296" t="inlineStr">
        <is>
          <t>The service is highly relevant to transition-age youth, but the public site does not establish eligibility beyond the teen years. Verify age before referral.</t>
        </is>
      </c>
      <c r="M140" s="296" t="inlineStr">
        <is>
          <t>https://www.agapeacrescarolinas.com/services</t>
        </is>
      </c>
      <c r="N140" s="328" t="n">
        <v>46239</v>
      </c>
      <c r="O140" s="296" t="inlineStr">
        <is>
          <t>Not contacted</t>
        </is>
      </c>
      <c r="P140" s="296" t="inlineStr">
        <is>
          <t>Added from Charlotte Young Adult Resource Database. Email: agapeacrescarolinas@gmail.com.</t>
        </is>
      </c>
      <c r="Q140" s="296" t="inlineStr">
        <is>
          <t>Charlotte / Mecklenburg</t>
        </is>
      </c>
      <c r="R140" s="296" t="inlineStr">
        <is>
          <t>Charlotte / Mecklenburg</t>
        </is>
      </c>
      <c r="S140" s="296" t="inlineStr">
        <is>
          <t>Located in southwest Charlotte within the requested roughly 30-mile service area.</t>
        </is>
      </c>
      <c r="T140" s="52" t="n"/>
      <c r="U140" s="52" t="n"/>
      <c r="V140" s="52" t="n"/>
      <c r="W140" s="52" t="n"/>
      <c r="X140" s="52" t="n"/>
      <c r="Y140" s="52" t="n"/>
      <c r="Z140" s="52" t="n"/>
    </row>
    <row r="141" ht="72" customHeight="1" s="188">
      <c r="A141" s="296" t="n">
        <v>136</v>
      </c>
      <c r="B141" s="296" t="inlineStr">
        <is>
          <t>Mental health / recovery; Health care; Community / belonging</t>
        </is>
      </c>
      <c r="C141" s="296" t="inlineStr">
        <is>
          <t>Mental Health America of Central Carolinas — Counseling</t>
        </is>
      </c>
      <c r="D141" s="296" t="inlineStr">
        <is>
          <t>No</t>
        </is>
      </c>
      <c r="E141" s="296" t="inlineStr">
        <is>
          <t>Core</t>
        </is>
      </c>
      <c r="F141" s="296" t="inlineStr">
        <is>
          <t>An uninsured or underinsured young adult in Mecklenburg or Cabarrus County needs free counseling or help identifying an appropriate mental-health service.</t>
        </is>
      </c>
      <c r="G141" s="296" t="inlineStr">
        <is>
          <t>Individuals ages 8 and older who are uninsured or underinsured; residency and program criteria differ between the counseling center and short-term counseling.</t>
        </is>
      </c>
      <c r="H141" s="296" t="inlineStr">
        <is>
          <t>A no-cost counseling center, up to six sessions of short-term counseling with local licensed professionals, telehealth/in-person options and mental-health navigation.</t>
        </is>
      </c>
      <c r="I141" s="296" t="inlineStr">
        <is>
          <t>Call the counseling and navigation line or email referrals@mhaofcc.org.</t>
        </is>
      </c>
      <c r="J141" s="296" t="inlineStr">
        <is>
          <t>704-565-3315</t>
        </is>
      </c>
      <c r="K141" s="296" t="inlineStr">
        <is>
          <t>3701 Latrobe Dr., Suite 140, Charlotte, NC 28211; serves Mecklenburg and Cabarrus counties.</t>
        </is>
      </c>
      <c r="L141" s="296" t="inlineStr">
        <is>
          <t>The graduate-student counseling center has seasonal availability, and short-term counseling depends on eligibility and provider capacity.</t>
        </is>
      </c>
      <c r="M141" s="296" t="inlineStr">
        <is>
          <t>https://mhaofcc.org/program/counseling</t>
        </is>
      </c>
      <c r="N141" s="328" t="n">
        <v>46239</v>
      </c>
      <c r="O141" s="296" t="inlineStr">
        <is>
          <t>Not contacted</t>
        </is>
      </c>
      <c r="P141" s="296" t="inlineStr">
        <is>
          <t>Added from Charlotte Young Adult Resource Database; current official programs and referral contact verified.</t>
        </is>
      </c>
      <c r="Q141" s="296" t="inlineStr">
        <is>
          <t>Charlotte / Mecklenburg-Cabarrus</t>
        </is>
      </c>
      <c r="R141" s="296" t="inlineStr">
        <is>
          <t>Charlotte / Mecklenburg</t>
        </is>
      </c>
      <c r="S141" s="296" t="inlineStr">
        <is>
          <t>Charlotte-based and serves Mecklenburg and Cabarrus counties within the requested regional search area.</t>
        </is>
      </c>
      <c r="T141" s="52" t="n"/>
      <c r="U141" s="52" t="n"/>
      <c r="V141" s="52" t="n"/>
      <c r="W141" s="52" t="n"/>
      <c r="X141" s="52" t="n"/>
      <c r="Y141" s="52" t="n"/>
      <c r="Z141" s="52" t="n"/>
    </row>
    <row r="142" ht="72" customHeight="1" s="188">
      <c r="A142" s="296" t="n">
        <v>137</v>
      </c>
      <c r="B142" s="296" t="inlineStr">
        <is>
          <t>Mental health / recovery; Faith / spiritual support; Community / belonging</t>
        </is>
      </c>
      <c r="C142" s="296" t="inlineStr">
        <is>
          <t>The Barnabas Center</t>
        </is>
      </c>
      <c r="D142" s="296" t="inlineStr">
        <is>
          <t>No</t>
        </is>
      </c>
      <c r="E142" s="296" t="inlineStr">
        <is>
          <t>Specialized</t>
        </is>
      </c>
      <c r="F142" s="296" t="inlineStr">
        <is>
          <t>A young adult wants faith-informed professional counseling and may need a reduced fee.</t>
        </is>
      </c>
      <c r="G142" s="296" t="inlineStr">
        <is>
          <t>New clients accepted based on counselor availability; scholarship eligibility is based on household income, circumstances and available funds.</t>
        </is>
      </c>
      <c r="H142" s="296" t="inlineStr">
        <is>
          <t>Professional counseling with a sliding-fee scholarship program and a process for church assistance with counseling costs.</t>
        </is>
      </c>
      <c r="I142" s="296" t="inlineStr">
        <is>
          <t>Call the Charlotte office to ask about counselor availability and request scholarship information.</t>
        </is>
      </c>
      <c r="J142" s="296" t="inlineStr">
        <is>
          <t>704-365-4545</t>
        </is>
      </c>
      <c r="K142" s="296" t="inlineStr">
        <is>
          <t>7615 Colony Rd., Suite 200, Charlotte, NC 28226; Davidson office also available.</t>
        </is>
      </c>
      <c r="L142" s="296" t="inlineStr">
        <is>
          <t>Standard rates are substantial before scholarship approval, insurance claims are the client's responsibility and same-day appointments are generally unavailable.</t>
        </is>
      </c>
      <c r="M142" s="296" t="inlineStr">
        <is>
          <t>https://thebarnabascenter.org/what-we-do/counseling/</t>
        </is>
      </c>
      <c r="N142" s="328" t="n">
        <v>46239</v>
      </c>
      <c r="O142" s="296" t="inlineStr">
        <is>
          <t>Not contacted</t>
        </is>
      </c>
      <c r="P142" s="296" t="inlineStr">
        <is>
          <t>Added from Charlotte Young Adult Resource Database; current financial-assistance process verified.</t>
        </is>
      </c>
      <c r="Q142" s="296" t="inlineStr">
        <is>
          <t>Charlotte / Mecklenburg</t>
        </is>
      </c>
      <c r="R142" s="296" t="inlineStr">
        <is>
          <t>Charlotte / Mecklenburg</t>
        </is>
      </c>
      <c r="S142" s="296" t="inlineStr">
        <is>
          <t>Located in Charlotte within the requested roughly 30-mile service area.</t>
        </is>
      </c>
      <c r="T142" s="52" t="n"/>
      <c r="U142" s="52" t="n"/>
      <c r="V142" s="52" t="n"/>
      <c r="W142" s="52" t="n"/>
      <c r="X142" s="52" t="n"/>
      <c r="Y142" s="52" t="n"/>
      <c r="Z142" s="52" t="n"/>
    </row>
    <row r="143" ht="72" customHeight="1" s="188">
      <c r="A143" s="296" t="n">
        <v>138</v>
      </c>
      <c r="B143" s="296" t="inlineStr">
        <is>
          <t>Food / essentials; Faith / spiritual support; Community / belonging</t>
        </is>
      </c>
      <c r="C143" s="296" t="inlineStr">
        <is>
          <t>Hickory Grove Baptist Church — Clothes Closet</t>
        </is>
      </c>
      <c r="D143" s="296" t="inlineStr">
        <is>
          <t>No</t>
        </is>
      </c>
      <c r="E143" s="296" t="inlineStr">
        <is>
          <t>Backup</t>
        </is>
      </c>
      <c r="F143" s="296" t="inlineStr">
        <is>
          <t>A young adult needs free clothing and can attend a scheduled community shopping event.</t>
        </is>
      </c>
      <c r="G143" s="296" t="inlineStr">
        <is>
          <t>Community members in need; confirm the next shopping-event date and any registration process.</t>
        </is>
      </c>
      <c r="H143" s="296" t="inlineStr">
        <is>
          <t>Free clothing, shoes and other apparel through community shopping events held several times per year.</t>
        </is>
      </c>
      <c r="I143" s="296" t="inlineStr">
        <is>
          <t>Check the official Clothes Closet page or call the church for the next event.</t>
        </is>
      </c>
      <c r="J143" s="296" t="inlineStr">
        <is>
          <t>704-531-4015</t>
        </is>
      </c>
      <c r="K143" s="296" t="inlineStr">
        <is>
          <t>Harris Campus, 7200 E. W.T. Harris Blvd., Charlotte, NC 28215.</t>
        </is>
      </c>
      <c r="L143" s="296" t="inlineStr">
        <is>
          <t>Not a continuously open clothing closet. Events are generally held two or three times per year, so use Crisis Assistance Ministry for more immediate needs.</t>
        </is>
      </c>
      <c r="M143" s="296" t="inlineStr">
        <is>
          <t>https://www.hickorygrove.org/article/clothes-closet/</t>
        </is>
      </c>
      <c r="N143" s="328" t="n">
        <v>46239</v>
      </c>
      <c r="O143" s="296" t="inlineStr">
        <is>
          <t>Not contacted</t>
        </is>
      </c>
      <c r="P143" s="296" t="inlineStr">
        <is>
          <t>Added from Charlotte Young Adult Resource Database; current official event model and phone verified.</t>
        </is>
      </c>
      <c r="Q143" s="296" t="inlineStr">
        <is>
          <t>Charlotte / Mecklenburg</t>
        </is>
      </c>
      <c r="R143" s="296" t="inlineStr">
        <is>
          <t>Charlotte / Mecklenburg</t>
        </is>
      </c>
      <c r="S143" s="296" t="inlineStr">
        <is>
          <t>Located in Charlotte within the requested roughly 30-mile service area.</t>
        </is>
      </c>
      <c r="T143" s="52" t="n"/>
      <c r="U143" s="52" t="n"/>
      <c r="V143" s="52" t="n"/>
      <c r="W143" s="52" t="n"/>
      <c r="X143" s="52" t="n"/>
      <c r="Y143" s="52" t="n"/>
      <c r="Z143" s="52" t="n"/>
    </row>
    <row r="144" ht="72" customHeight="1" s="188">
      <c r="A144" s="296" t="n">
        <v>139</v>
      </c>
      <c r="B144" s="296" t="inlineStr">
        <is>
          <t>Mentorship; Soft skills / life skills; Mental health / recovery; Faith / spiritual support; Community / belonging</t>
        </is>
      </c>
      <c r="C144" s="296" t="inlineStr">
        <is>
          <t>My Farm Camps Experience</t>
        </is>
      </c>
      <c r="D144" s="296" t="inlineStr">
        <is>
          <t>No</t>
        </is>
      </c>
      <c r="E144" s="296" t="inlineStr">
        <is>
          <t>Verify</t>
        </is>
      </c>
      <c r="F144" s="296" t="inlineStr">
        <is>
          <t>the program wants to explore a farm-based experiential opportunity involving animals, riding, gardening or animal-assisted activities.</t>
        </is>
      </c>
      <c r="G144" s="296" t="inlineStr">
        <is>
          <t>Public offerings serve children, teens, adults and families; individual activities have fees, schedules, waivers and availability requirements.</t>
        </is>
      </c>
      <c r="H144" s="296" t="inlineStr">
        <is>
          <t>Horseback riding, animal care, gardening, farm experiences, animal-assisted activities, camps and special events in a Christ-centered setting.</t>
        </is>
      </c>
      <c r="I144" s="296" t="inlineStr">
        <is>
          <t>Contact the organization to ask about an age-appropriate sponsored experience or partnership rather than assuming a standard referral program.</t>
        </is>
      </c>
      <c r="J144" s="296" t="inlineStr">
        <is>
          <t>704-575-2217</t>
        </is>
      </c>
      <c r="K144" s="296" t="inlineStr">
        <is>
          <t>12381 Downs Rd., Pineville, NC 28134.</t>
        </is>
      </c>
      <c r="L144" s="296" t="inlineStr">
        <is>
          <t>The current public site emphasizes paid camps, lessons and events and does not describe a routine young-adult therapy or scholarship intake. Lessons were listed as full when verified.</t>
        </is>
      </c>
      <c r="M144" s="296" t="inlineStr">
        <is>
          <t>https://www.myfarmcamps.com/</t>
        </is>
      </c>
      <c r="N144" s="328" t="n">
        <v>46239</v>
      </c>
      <c r="O144" s="296" t="inlineStr">
        <is>
          <t>Not contacted</t>
        </is>
      </c>
      <c r="P144" s="296" t="inlineStr">
        <is>
          <t>Added from Charlotte Young Adult Resource Database as a potential experiential or partnership resource, not a guaranteed clinical referral.</t>
        </is>
      </c>
      <c r="Q144" s="296" t="inlineStr">
        <is>
          <t>Pineville / Mecklenburg</t>
        </is>
      </c>
      <c r="R144" s="296" t="inlineStr">
        <is>
          <t>Surrounding communities</t>
        </is>
      </c>
      <c r="S144" s="296" t="inlineStr">
        <is>
          <t>Located in Pineville within the requested roughly 30-mile service area.</t>
        </is>
      </c>
      <c r="T144" s="52" t="n"/>
      <c r="U144" s="52" t="n"/>
      <c r="V144" s="52" t="n"/>
      <c r="W144" s="52" t="n"/>
      <c r="X144" s="52" t="n"/>
      <c r="Y144" s="52" t="n"/>
      <c r="Z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  <c r="Z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  <c r="Z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  <c r="Z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  <c r="Z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  <c r="Z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  <c r="Z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  <c r="Z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  <c r="Z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  <c r="Z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  <c r="Z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  <c r="Z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  <c r="Z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  <c r="Z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  <c r="Z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  <c r="Z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  <c r="Z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  <c r="Z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  <c r="X176" s="52" t="n"/>
      <c r="Y176" s="52" t="n"/>
      <c r="Z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  <c r="Z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  <c r="Y178" s="52" t="n"/>
      <c r="Z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  <c r="Y179" s="52" t="n"/>
      <c r="Z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  <c r="Z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  <c r="X182" s="52" t="n"/>
      <c r="Y182" s="52" t="n"/>
      <c r="Z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  <c r="Z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  <c r="Y184" s="52" t="n"/>
      <c r="Z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  <c r="Y185" s="52" t="n"/>
      <c r="Z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  <c r="Z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  <c r="X188" s="52" t="n"/>
      <c r="Y188" s="52" t="n"/>
      <c r="Z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  <c r="Z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  <c r="X194" s="52" t="n"/>
      <c r="Y194" s="52" t="n"/>
      <c r="Z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  <c r="Z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  <c r="Y196" s="52" t="n"/>
      <c r="Z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  <c r="Y197" s="52" t="n"/>
      <c r="Z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  <c r="Z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  <c r="X200" s="52" t="n"/>
      <c r="Y200" s="52" t="n"/>
      <c r="Z200" s="52" t="n"/>
    </row>
  </sheetData>
  <mergeCells count="2">
    <mergeCell ref="A1:S2"/>
    <mergeCell ref="A3:S3"/>
  </mergeCells>
  <conditionalFormatting sqref="D6:D95">
    <cfRule type="expression" priority="1" dxfId="0">
      <formula>D6="Yes"</formula>
    </cfRule>
  </conditionalFormatting>
  <conditionalFormatting sqref="E6:E95">
    <cfRule type="expression" priority="2" dxfId="1">
      <formula>E6="Core"</formula>
    </cfRule>
    <cfRule type="expression" priority="3" dxfId="2">
      <formula>E6="Verify"</formula>
    </cfRule>
  </conditionalFormatting>
  <conditionalFormatting sqref="O6:O95">
    <cfRule type="expression" priority="4" dxfId="1">
      <formula>O6="Referral pathway confirmed"</formula>
    </cfRule>
  </conditionalFormatting>
  <conditionalFormatting sqref="D6:D132">
    <cfRule type="expression" priority="5" dxfId="0">
      <formula>D6="Yes"</formula>
    </cfRule>
  </conditionalFormatting>
  <conditionalFormatting sqref="E6:E132">
    <cfRule type="expression" priority="6" dxfId="1">
      <formula>E6="Core"</formula>
    </cfRule>
    <cfRule type="expression" priority="7" dxfId="2">
      <formula>E6="Verify"</formula>
    </cfRule>
  </conditionalFormatting>
  <conditionalFormatting sqref="R6:R132">
    <cfRule type="expression" priority="8" dxfId="15">
      <formula>R6="Surrounding communities"</formula>
    </cfRule>
  </conditionalFormatting>
  <conditionalFormatting sqref="O6:O132">
    <cfRule type="expression" priority="9" dxfId="1">
      <formula>O6="Referral pathway confirmed"</formula>
    </cfRule>
  </conditionalFormatting>
  <conditionalFormatting sqref="U6:V132">
    <cfRule type="expression" priority="10" dxfId="1">
      <formula>U6="Yes"</formula>
    </cfRule>
  </conditionalFormatting>
  <conditionalFormatting sqref="D6:D144">
    <cfRule type="expression" priority="11" dxfId="21">
      <formula>D6="Yes"</formula>
    </cfRule>
  </conditionalFormatting>
  <conditionalFormatting sqref="E6:E144">
    <cfRule type="expression" priority="12" dxfId="22">
      <formula>E6="Core"</formula>
    </cfRule>
    <cfRule type="expression" priority="13" dxfId="23">
      <formula>E6="Verify"</formula>
    </cfRule>
  </conditionalFormatting>
  <conditionalFormatting sqref="O6:O144">
    <cfRule type="expression" priority="14" dxfId="22">
      <formula>O6="Referral pathway confirmed"</formula>
    </cfRule>
  </conditionalFormatting>
  <dataValidations count="4">
    <dataValidation sqref="O6:O95" showDropDown="0" showInputMessage="0" showErrorMessage="0" allowBlank="0" type="list">
      <formula1>"Not contacted,Contacted,Referral pathway confirmed,Paused / unavailable,Needs update"</formula1>
    </dataValidation>
    <dataValidation sqref="O6:O132" showDropDown="0" showInputMessage="0" showErrorMessage="0" allowBlank="0" type="list">
      <formula1>"Not contacted,Contacted,Referral pathway confirmed,Paused / unavailable,Needs update"</formula1>
    </dataValidation>
    <dataValidation sqref="U6:V132" showDropDown="0" showInputMessage="0" showErrorMessage="0" allowBlank="0" type="list">
      <formula1>"Yes,No"</formula1>
    </dataValidation>
    <dataValidation sqref="O6:O144" showDropDown="0" showInputMessage="0" showErrorMessage="0" allowBlank="0" type="list">
      <formula1>"Not contacted,Contacted,Referral pathway confirmed,Paused / unavailable,Needs update"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0" customWidth="1" style="188" min="1" max="1"/>
    <col width="20" customWidth="1" style="188" min="2" max="2"/>
    <col width="39" customWidth="1" style="188" min="3" max="3"/>
    <col width="40" customWidth="1" style="188" min="4" max="4"/>
    <col width="42" customWidth="1" style="188" min="5" max="5"/>
    <col width="48" customWidth="1" style="188" min="6" max="6"/>
  </cols>
  <sheetData>
    <row r="1">
      <c r="A1" s="322" t="inlineStr">
        <is>
          <t>Foster-care-specific programs and relational supports</t>
        </is>
      </c>
      <c r="B1" s="323" t="n"/>
      <c r="C1" s="323" t="n"/>
      <c r="D1" s="323" t="n"/>
      <c r="E1" s="323" t="n"/>
      <c r="F1" s="323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</row>
    <row r="2">
      <c r="A2" s="323" t="n"/>
      <c r="B2" s="323" t="n"/>
      <c r="C2" s="323" t="n"/>
      <c r="D2" s="323" t="n"/>
      <c r="E2" s="323" t="n"/>
      <c r="F2" s="323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52" t="n"/>
      <c r="Z2" s="52" t="n"/>
    </row>
    <row r="3">
      <c r="A3" s="324" t="inlineStr">
        <is>
          <t>Screen these options early. Age cutoffs, custody history and school enrollment can control eligibility. New local entries include foster-specific mentoring and life-skills support.</t>
        </is>
      </c>
      <c r="B3" s="323" t="n"/>
      <c r="C3" s="323" t="n"/>
      <c r="D3" s="323" t="n"/>
      <c r="E3" s="323" t="n"/>
      <c r="F3" s="323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2" t="n"/>
      <c r="Y3" s="52" t="n"/>
      <c r="Z3" s="52" t="n"/>
    </row>
    <row r="4">
      <c r="A4" s="323" t="n"/>
      <c r="B4" s="323" t="n"/>
      <c r="C4" s="323" t="n"/>
      <c r="D4" s="323" t="n"/>
      <c r="E4" s="323" t="n"/>
      <c r="F4" s="323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</row>
    <row r="5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2" t="n"/>
    </row>
    <row r="6" ht="36" customHeight="1" s="188">
      <c r="A6" s="208" t="inlineStr">
        <is>
          <t>Program</t>
        </is>
      </c>
      <c r="B6" s="208" t="inlineStr">
        <is>
          <t>Age window</t>
        </is>
      </c>
      <c r="C6" s="208" t="inlineStr">
        <is>
          <t>Eligibility trigger</t>
        </is>
      </c>
      <c r="D6" s="208" t="inlineStr">
        <is>
          <t>Primary value</t>
        </is>
      </c>
      <c r="E6" s="208" t="inlineStr">
        <is>
          <t>Recommended next step</t>
        </is>
      </c>
      <c r="F6" s="208" t="inlineStr">
        <is>
          <t>Official source URL</t>
        </is>
      </c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52" t="n"/>
      <c r="X6" s="52" t="n"/>
      <c r="Y6" s="52" t="n"/>
      <c r="Z6" s="52" t="n"/>
    </row>
    <row r="7" ht="64" customHeight="1" s="188">
      <c r="A7" s="213" t="inlineStr">
        <is>
          <t>Mecklenburg LINKS</t>
        </is>
      </c>
      <c r="B7" s="213" t="inlineStr">
        <is>
          <t>Usually 13–21</t>
        </is>
      </c>
      <c r="C7" s="213" t="inlineStr">
        <is>
          <t>Current/former foster care; county-specific rules</t>
        </is>
      </c>
      <c r="D7" s="213" t="inlineStr">
        <is>
          <t>Independent-living planning, funds, education and housing support</t>
        </is>
      </c>
      <c r="E7" s="213" t="inlineStr">
        <is>
          <t>Refer immediately and document the young adult's custody/discharge history</t>
        </is>
      </c>
      <c r="F7" s="213" t="inlineStr">
        <is>
          <t>https://cfas.mecknc.gov/services/adoption-and-foster-care/LINKS</t>
        </is>
      </c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</row>
    <row r="8" ht="64" customHeight="1" s="188">
      <c r="A8" s="213" t="inlineStr">
        <is>
          <t>Phoenix Project</t>
        </is>
      </c>
      <c r="B8" s="213" t="inlineStr">
        <is>
          <t>Under 21</t>
        </is>
      </c>
      <c r="C8" s="213" t="inlineStr">
        <is>
          <t>Former foster youth no longer in county custody; confirm eligibility</t>
        </is>
      </c>
      <c r="D8" s="213" t="inlineStr">
        <is>
          <t>Post-custody transition support and eligible funding</t>
        </is>
      </c>
      <c r="E8" s="213" t="inlineStr">
        <is>
          <t>Call 704-336-3290 before the 21st birthday</t>
        </is>
      </c>
      <c r="F8" s="213" t="inlineStr">
        <is>
          <t>https://cfas.mecknc.gov/services/adoption-and-foster-care/LINKS</t>
        </is>
      </c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2" t="n"/>
    </row>
    <row r="9" ht="64" customHeight="1" s="188">
      <c r="A9" s="213" t="inlineStr">
        <is>
          <t>Foster Care 18 to 21 / VPA</t>
        </is>
      </c>
      <c r="B9" s="213" t="inlineStr">
        <is>
          <t>18–21</t>
        </is>
      </c>
      <c r="C9" s="213" t="inlineStr">
        <is>
          <t>Must meet state criteria and complete a voluntary agreement</t>
        </is>
      </c>
      <c r="D9" s="213" t="inlineStr">
        <is>
          <t>Continued placement, case management and financial support</t>
        </is>
      </c>
      <c r="E9" s="213" t="inlineStr">
        <is>
          <t>Ask before discharge from care; do not wait until after the 18th birthday</t>
        </is>
      </c>
      <c r="F9" s="213" t="inlineStr">
        <is>
          <t>https://www.ncdhhs.gov/assistance/guardianship/independent-living-services-transitional-age-youth</t>
        </is>
      </c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</row>
    <row r="10" ht="64" customHeight="1" s="188">
      <c r="A10" s="213" t="inlineStr">
        <is>
          <t>GEAR Up pilot</t>
        </is>
      </c>
      <c r="B10" s="213" t="inlineStr">
        <is>
          <t>18–21</t>
        </is>
      </c>
      <c r="C10" s="213" t="inlineStr">
        <is>
          <t>Mecklenburg youth aging out; pilot criteria</t>
        </is>
      </c>
      <c r="D10" s="213" t="inlineStr">
        <is>
          <t>Flexible monthly supplemental income</t>
        </is>
      </c>
      <c r="E10" s="213" t="inlineStr">
        <is>
          <t>Call LINKS and verify active enrollment/funding</t>
        </is>
      </c>
      <c r="F10" s="213" t="inlineStr">
        <is>
          <t>https://news.mecknc.gov/gear-supplemental-income-pilot-program-young-adults-aging-out-foster-care</t>
        </is>
      </c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52" t="n"/>
      <c r="Z10" s="52" t="n"/>
    </row>
    <row r="11" ht="64" customHeight="1" s="188">
      <c r="A11" s="213" t="inlineStr">
        <is>
          <t>Medicaid for Former Foster Care Youth</t>
        </is>
      </c>
      <c r="B11" s="213" t="inlineStr">
        <is>
          <t>Under 26</t>
        </is>
      </c>
      <c r="C11" s="213" t="inlineStr">
        <is>
          <t>Former foster-care and Medicaid history rules apply</t>
        </is>
      </c>
      <c r="D11" s="213" t="inlineStr">
        <is>
          <t>Medical and behavioral-health coverage</t>
        </is>
      </c>
      <c r="E11" s="213" t="inlineStr">
        <is>
          <t>State former-foster status explicitly on application</t>
        </is>
      </c>
      <c r="F11" s="213" t="inlineStr">
        <is>
          <t>https://www.ncdhhs.gov/assistance/guardianship/independent-living-services-transitional-age-youth</t>
        </is>
      </c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52" t="n"/>
      <c r="Z11" s="52" t="n"/>
    </row>
    <row r="12" ht="64" customHeight="1" s="188">
      <c r="A12" s="213" t="inlineStr">
        <is>
          <t>Children and Families Specialty Plan</t>
        </is>
      </c>
      <c r="B12" s="213" t="inlineStr">
        <is>
          <t>Often under 26 for eligible former foster youth</t>
        </is>
      </c>
      <c r="C12" s="213" t="inlineStr">
        <is>
          <t>Medicaid and child-welfare eligibility</t>
        </is>
      </c>
      <c r="D12" s="213" t="inlineStr">
        <is>
          <t>Trauma-informed plan and care management</t>
        </is>
      </c>
      <c r="E12" s="213" t="inlineStr">
        <is>
          <t>Confirm plan assignment and current contact information</t>
        </is>
      </c>
      <c r="F12" s="213" t="inlineStr">
        <is>
          <t>https://medicaid.ncdhhs.gov/beneficiaries/children-and-families-specialty-plan</t>
        </is>
      </c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2" t="n"/>
      <c r="Z12" s="52" t="n"/>
    </row>
    <row r="13" ht="64" customHeight="1" s="188">
      <c r="A13" s="213" t="inlineStr">
        <is>
          <t>NC Reach</t>
        </is>
      </c>
      <c r="B13" s="213" t="inlineStr">
        <is>
          <t>Postsecondary; age rules per program</t>
        </is>
      </c>
      <c r="C13" s="213" t="inlineStr">
        <is>
          <t>Aged out at 18 or adopted after 12; NC public school; at least half time</t>
        </is>
      </c>
      <c r="D13" s="213" t="inlineStr">
        <is>
          <t>Last-dollar scholarship and support</t>
        </is>
      </c>
      <c r="E13" s="213" t="inlineStr">
        <is>
          <t>FAFSA + NC Reach application before enrollment</t>
        </is>
      </c>
      <c r="F13" s="213" t="inlineStr">
        <is>
          <t>https://www.cfnc.org/pay-for-college/scholarship-search/nc-reach/</t>
        </is>
      </c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52" t="n"/>
      <c r="Z13" s="52" t="n"/>
    </row>
    <row r="14" ht="64" customHeight="1" s="188">
      <c r="A14" s="213" t="inlineStr">
        <is>
          <t>Education and Training Voucher</t>
        </is>
      </c>
      <c r="B14" s="213" t="inlineStr">
        <is>
          <t>Age/status rules apply</t>
        </is>
      </c>
      <c r="C14" s="213" t="inlineStr">
        <is>
          <t>Current/former foster youth and some adopted/guardianship youth</t>
        </is>
      </c>
      <c r="D14" s="213" t="inlineStr">
        <is>
          <t>Up to program limit for approved education costs</t>
        </is>
      </c>
      <c r="E14" s="213" t="inlineStr">
        <is>
          <t>Coordinate ETV, financial aid and LINKS</t>
        </is>
      </c>
      <c r="F14" s="213" t="inlineStr">
        <is>
          <t>https://www.fc2sprograms.org/</t>
        </is>
      </c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</row>
    <row r="15" ht="64" customHeight="1" s="188">
      <c r="A15" s="213" t="inlineStr">
        <is>
          <t>Youth Villages LifeSet</t>
        </is>
      </c>
      <c r="B15" s="213" t="inlineStr">
        <is>
          <t>Generally 17.5–23</t>
        </is>
      </c>
      <c r="C15" s="213" t="inlineStr">
        <is>
          <t>Leaving foster care; local program criteria</t>
        </is>
      </c>
      <c r="D15" s="213" t="inlineStr">
        <is>
          <t>Intensive community-based transition support</t>
        </is>
      </c>
      <c r="E15" s="213" t="inlineStr">
        <is>
          <t>Request Charlotte-area referral and verify openings</t>
        </is>
      </c>
      <c r="F15" s="213" t="inlineStr">
        <is>
          <t>https://youthvillages.org/services/lifeset/</t>
        </is>
      </c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</row>
    <row r="16" ht="64" customHeight="1" s="188">
      <c r="A16" s="213" t="inlineStr">
        <is>
          <t>The Relatives On Ramp</t>
        </is>
      </c>
      <c r="B16" s="213" t="inlineStr">
        <is>
          <t>16–24</t>
        </is>
      </c>
      <c r="C16" s="213" t="inlineStr">
        <is>
          <t>Mecklenburg young people; foster history not required</t>
        </is>
      </c>
      <c r="D16" s="213" t="inlineStr">
        <is>
          <t>Youth-centered case management and broad resource access</t>
        </is>
      </c>
      <c r="E16" s="213" t="inlineStr">
        <is>
          <t>Use as a central warm-handoff hub</t>
        </is>
      </c>
      <c r="F16" s="213" t="inlineStr">
        <is>
          <t>https://therelatives.org/our-programs/on-ramp-resource-center/</t>
        </is>
      </c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</row>
    <row r="17" ht="64" customHeight="1" s="188">
      <c r="A17" s="213" t="inlineStr">
        <is>
          <t>The Relatives Housing</t>
        </is>
      </c>
      <c r="B17" s="213" t="inlineStr">
        <is>
          <t>18–24</t>
        </is>
      </c>
      <c r="C17" s="213" t="inlineStr">
        <is>
          <t>Homeless, at risk or fleeing violence; screening applies</t>
        </is>
      </c>
      <c r="D17" s="213" t="inlineStr">
        <is>
          <t>Scattered-site housing and case management</t>
        </is>
      </c>
      <c r="E17" s="213" t="inlineStr">
        <is>
          <t>Screen early; placement is capacity-limited</t>
        </is>
      </c>
      <c r="F17" s="213" t="inlineStr">
        <is>
          <t>https://therelatives.org/our-programs/housing/</t>
        </is>
      </c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</row>
    <row r="18" ht="64" customHeight="1" s="188">
      <c r="A18" s="213" t="inlineStr">
        <is>
          <t>Charlotte Angels Dare to Dream</t>
        </is>
      </c>
      <c r="B18" s="213" t="inlineStr">
        <is>
          <t>Generally 11–22</t>
        </is>
      </c>
      <c r="C18" s="213" t="inlineStr">
        <is>
          <t>Youth/young adults in foster care</t>
        </is>
      </c>
      <c r="D18" s="213" t="inlineStr">
        <is>
          <t>Long-term volunteer mentorship</t>
        </is>
      </c>
      <c r="E18" s="213" t="inlineStr">
        <is>
          <t>Coordinate to avoid duplicate or conflicting mentor roles</t>
        </is>
      </c>
      <c r="F18" s="213" t="inlineStr">
        <is>
          <t>https://www.charlotteangels.org/mentor</t>
        </is>
      </c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</row>
    <row r="19" ht="64" customHeight="1" s="188">
      <c r="A19" s="213" t="inlineStr">
        <is>
          <t>SaySo</t>
        </is>
      </c>
      <c r="B19" s="213" t="inlineStr">
        <is>
          <t>Teens through mid-20s depending activity</t>
        </is>
      </c>
      <c r="C19" s="213" t="inlineStr">
        <is>
          <t>Current/former out-of-home-care experience</t>
        </is>
      </c>
      <c r="D19" s="213" t="inlineStr">
        <is>
          <t>Peer network, advocacy and leadership</t>
        </is>
      </c>
      <c r="E19" s="213" t="inlineStr">
        <is>
          <t>Invite young adults who want peer voice and connection</t>
        </is>
      </c>
      <c r="F19" s="213" t="inlineStr">
        <is>
          <t>https://chsnc.org/programs-services/sayso/</t>
        </is>
      </c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</row>
    <row r="20" ht="64" customHeight="1" s="188">
      <c r="A20" s="213" t="inlineStr">
        <is>
          <t>HUD FYI voucher</t>
        </is>
      </c>
      <c r="B20" s="213" t="inlineStr">
        <is>
          <t>18–24</t>
        </is>
      </c>
      <c r="C20" s="213" t="inlineStr">
        <is>
          <t>Federal foster-youth and homelessness criteria; local partnership required</t>
        </is>
      </c>
      <c r="D20" s="213" t="inlineStr">
        <is>
          <t>Time-limited housing voucher and supportive services</t>
        </is>
      </c>
      <c r="E20" s="213" t="inlineStr">
        <is>
          <t>Treat as a lead until LINKS/INLIVIAN confirms local pathway</t>
        </is>
      </c>
      <c r="F20" s="213" t="inlineStr">
        <is>
          <t>https://www.hud.gov/hud-partners/public-indian-housing-fyi</t>
        </is>
      </c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</row>
    <row r="21" ht="64" customHeight="1" s="188">
      <c r="A21" s="213" t="inlineStr">
        <is>
          <t>I Am Here legal hotline</t>
        </is>
      </c>
      <c r="B21" s="213" t="inlineStr">
        <is>
          <t>Young people experiencing homelessness</t>
        </is>
      </c>
      <c r="C21" s="213" t="inlineStr">
        <is>
          <t>Document-related legal need</t>
        </is>
      </c>
      <c r="D21" s="213" t="inlineStr">
        <is>
          <t>Help obtaining IDs and vital documents</t>
        </is>
      </c>
      <c r="E21" s="213" t="inlineStr">
        <is>
          <t>Call/text 1-888-870-DOCS; confirm current hours</t>
        </is>
      </c>
      <c r="F21" s="213" t="inlineStr">
        <is>
          <t>https://nn4youth.org/programs/vital-document-legal-hotline-for-youth/</t>
        </is>
      </c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</row>
    <row r="22" ht="64" customHeight="1" s="188">
      <c r="A22" s="213" t="inlineStr">
        <is>
          <t>Home4Me — LEG Up on LIFE</t>
        </is>
      </c>
      <c r="B22" s="213" t="inlineStr">
        <is>
          <t>Youth, young adults and 20+ tracks</t>
        </is>
      </c>
      <c r="C22" s="213" t="inlineStr">
        <is>
          <t>Transitioning from foster care or adolescence; confirm current enrollment</t>
        </is>
      </c>
      <c r="D22" s="213" t="inlineStr">
        <is>
          <t>Mentoring, coaching, leadership, financial literacy and independent-living skills</t>
        </is>
      </c>
      <c r="E22" s="213" t="inlineStr">
        <is>
          <t>Ask about the current weekly virtual group and age-appropriate coaching track</t>
        </is>
      </c>
      <c r="F22" s="213" t="inlineStr">
        <is>
          <t>https://home4me.org/leg-up-on-life-2-2/</t>
        </is>
      </c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</row>
    <row r="23" ht="64" customHeight="1" s="188">
      <c r="A23" s="213" t="inlineStr">
        <is>
          <t>Machiah's House</t>
        </is>
      </c>
      <c r="B23" s="213" t="inlineStr">
        <is>
          <t>Generally 18–24</t>
        </is>
      </c>
      <c r="C23" s="213" t="inlineStr">
        <is>
          <t>Young women aging out of foster care; current program screening required</t>
        </is>
      </c>
      <c r="D23" s="213" t="inlineStr">
        <is>
          <t>Workshops, supportive relationships and transition-to-adulthood connection</t>
        </is>
      </c>
      <c r="E23" s="213" t="inlineStr">
        <is>
          <t>Verify current programming and do not promise residential housing</t>
        </is>
      </c>
      <c r="F23" s="213" t="inlineStr">
        <is>
          <t>https://machiahshouse.org/programs/</t>
        </is>
      </c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</row>
    <row r="24" ht="64" customHeight="1" s="188">
      <c r="A24" s="213" t="inlineStr">
        <is>
          <t>Congregations for Kids — Mentor Match</t>
        </is>
      </c>
      <c r="B24" s="213" t="inlineStr">
        <is>
          <t>11–18</t>
        </is>
      </c>
      <c r="C24" s="213" t="inlineStr">
        <is>
          <t>Currently in foster care through Mecklenburg or Union County</t>
        </is>
      </c>
      <c r="D24" s="213" t="inlineStr">
        <is>
          <t>Committed adult mentor before the transition out of care</t>
        </is>
      </c>
      <c r="E24" s="213" t="inlineStr">
        <is>
          <t>Use for pre-age-out planning and coordinate clearly with any program mentor</t>
        </is>
      </c>
      <c r="F24" s="213" t="inlineStr">
        <is>
          <t>https://www.cfknc.org/mentor</t>
        </is>
      </c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</row>
    <row r="25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</row>
    <row r="26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</row>
    <row r="27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</row>
    <row r="28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</row>
    <row r="29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</row>
    <row r="30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</row>
    <row r="3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</row>
    <row r="32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</row>
    <row r="33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</row>
    <row r="34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</row>
    <row r="35">
      <c r="A35" s="52" t="n"/>
      <c r="B35" s="52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</row>
    <row r="36">
      <c r="A36" s="52" t="n"/>
      <c r="B36" s="52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</row>
    <row r="37">
      <c r="A37" s="52" t="n"/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</row>
    <row r="38">
      <c r="A38" s="52" t="n"/>
      <c r="B38" s="52" t="n"/>
      <c r="C38" s="52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</row>
    <row r="39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</row>
    <row r="40">
      <c r="A40" s="52" t="n"/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</row>
    <row r="41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</row>
    <row r="42">
      <c r="A42" s="52" t="n"/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</row>
    <row r="43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</row>
    <row r="44">
      <c r="A44" s="52" t="n"/>
      <c r="B44" s="52" t="n"/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</row>
    <row r="45">
      <c r="A45" s="52" t="n"/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</row>
    <row r="46">
      <c r="A46" s="52" t="n"/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</row>
    <row r="47">
      <c r="A47" s="52" t="n"/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</row>
    <row r="48">
      <c r="A48" s="52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</row>
    <row r="49">
      <c r="A49" s="52" t="n"/>
      <c r="B49" s="52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</row>
    <row r="50">
      <c r="A50" s="52" t="n"/>
      <c r="B50" s="52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</row>
    <row r="51">
      <c r="A51" s="52" t="n"/>
      <c r="B51" s="52" t="n"/>
      <c r="C51" s="52" t="n"/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</row>
    <row r="52">
      <c r="A52" s="52" t="n"/>
      <c r="B52" s="52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</row>
    <row r="53">
      <c r="A53" s="52" t="n"/>
      <c r="B53" s="52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52" t="n"/>
      <c r="Z53" s="52" t="n"/>
    </row>
    <row r="54">
      <c r="A54" s="52" t="n"/>
      <c r="B54" s="52" t="n"/>
      <c r="C54" s="52" t="n"/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52" t="n"/>
      <c r="Z54" s="52" t="n"/>
    </row>
    <row r="55">
      <c r="A55" s="52" t="n"/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52" t="n"/>
      <c r="Z55" s="52" t="n"/>
    </row>
    <row r="56">
      <c r="A56" s="52" t="n"/>
      <c r="B56" s="52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52" t="n"/>
      <c r="Z56" s="52" t="n"/>
    </row>
    <row r="57">
      <c r="A57" s="52" t="n"/>
      <c r="B57" s="52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</row>
    <row r="58">
      <c r="A58" s="52" t="n"/>
      <c r="B58" s="52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52" t="n"/>
      <c r="Z58" s="52" t="n"/>
    </row>
    <row r="59">
      <c r="A59" s="52" t="n"/>
      <c r="B59" s="52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</row>
    <row r="60">
      <c r="A60" s="52" t="n"/>
      <c r="B60" s="52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</row>
    <row r="61">
      <c r="A61" s="52" t="n"/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</row>
    <row r="62">
      <c r="A62" s="52" t="n"/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52" t="n"/>
      <c r="Z62" s="52" t="n"/>
    </row>
    <row r="63">
      <c r="A63" s="52" t="n"/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</row>
    <row r="64">
      <c r="A64" s="52" t="n"/>
      <c r="B64" s="52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</row>
    <row r="65">
      <c r="A65" s="52" t="n"/>
      <c r="B65" s="52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</row>
    <row r="66">
      <c r="A66" s="52" t="n"/>
      <c r="B66" s="52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</row>
    <row r="67">
      <c r="A67" s="52" t="n"/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</row>
    <row r="68">
      <c r="A68" s="52" t="n"/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</row>
    <row r="69">
      <c r="A69" s="52" t="n"/>
      <c r="B69" s="52" t="n"/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</row>
    <row r="70">
      <c r="A70" s="52" t="n"/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</row>
    <row r="71">
      <c r="A71" s="52" t="n"/>
      <c r="B71" s="52" t="n"/>
      <c r="C71" s="52" t="n"/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</row>
    <row r="72">
      <c r="A72" s="52" t="n"/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</row>
    <row r="73">
      <c r="A73" s="52" t="n"/>
      <c r="B73" s="52" t="n"/>
      <c r="C73" s="52" t="n"/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</row>
    <row r="74">
      <c r="A74" s="52" t="n"/>
      <c r="B74" s="52" t="n"/>
      <c r="C74" s="52" t="n"/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</row>
    <row r="75">
      <c r="A75" s="52" t="n"/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</row>
    <row r="76">
      <c r="A76" s="52" t="n"/>
      <c r="B76" s="52" t="n"/>
      <c r="C76" s="52" t="n"/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</row>
    <row r="77">
      <c r="A77" s="52" t="n"/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52" t="n"/>
      <c r="Z77" s="52" t="n"/>
    </row>
    <row r="78">
      <c r="A78" s="52" t="n"/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</row>
    <row r="79">
      <c r="A79" s="52" t="n"/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</row>
    <row r="80">
      <c r="A80" s="52" t="n"/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</row>
    <row r="81">
      <c r="A81" s="52" t="n"/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</row>
    <row r="82">
      <c r="A82" s="52" t="n"/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</row>
    <row r="83">
      <c r="A83" s="52" t="n"/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</row>
    <row r="84">
      <c r="A84" s="52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</row>
    <row r="85">
      <c r="A85" s="52" t="n"/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</row>
    <row r="86">
      <c r="A86" s="52" t="n"/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</row>
    <row r="87">
      <c r="A87" s="52" t="n"/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</row>
    <row r="88">
      <c r="A88" s="52" t="n"/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</row>
    <row r="89">
      <c r="A89" s="52" t="n"/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</row>
    <row r="90">
      <c r="A90" s="52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</row>
    <row r="91">
      <c r="A91" s="52" t="n"/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</row>
    <row r="92">
      <c r="A92" s="52" t="n"/>
      <c r="B92" s="52" t="n"/>
      <c r="C92" s="52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</row>
    <row r="93">
      <c r="A93" s="52" t="n"/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</row>
    <row r="94">
      <c r="A94" s="52" t="n"/>
      <c r="B94" s="52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</row>
    <row r="95">
      <c r="A95" s="52" t="n"/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</row>
    <row r="96">
      <c r="A96" s="52" t="n"/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</row>
    <row r="97">
      <c r="A97" s="52" t="n"/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</row>
    <row r="98">
      <c r="A98" s="52" t="n"/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</row>
    <row r="99">
      <c r="A99" s="52" t="n"/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</row>
    <row r="100">
      <c r="A100" s="52" t="n"/>
      <c r="B100" s="52" t="n"/>
      <c r="C100" s="52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</row>
    <row r="101">
      <c r="A101" s="52" t="n"/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</row>
    <row r="102">
      <c r="A102" s="52" t="n"/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</row>
    <row r="103">
      <c r="A103" s="52" t="n"/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</row>
    <row r="104">
      <c r="A104" s="52" t="n"/>
      <c r="B104" s="52" t="n"/>
      <c r="C104" s="52" t="n"/>
      <c r="D104" s="52" t="n"/>
      <c r="E104" s="52" t="n"/>
      <c r="F104" s="52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</row>
    <row r="105">
      <c r="A105" s="52" t="n"/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</row>
    <row r="106">
      <c r="A106" s="52" t="n"/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</row>
    <row r="107">
      <c r="A107" s="52" t="n"/>
      <c r="B107" s="52" t="n"/>
      <c r="C107" s="52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</row>
    <row r="108">
      <c r="A108" s="52" t="n"/>
      <c r="B108" s="52" t="n"/>
      <c r="C108" s="52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</row>
    <row r="109">
      <c r="A109" s="52" t="n"/>
      <c r="B109" s="52" t="n"/>
      <c r="C109" s="52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</row>
    <row r="110">
      <c r="A110" s="52" t="n"/>
      <c r="B110" s="52" t="n"/>
      <c r="C110" s="52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</row>
    <row r="111">
      <c r="A111" s="52" t="n"/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</row>
    <row r="112">
      <c r="A112" s="52" t="n"/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</row>
    <row r="113">
      <c r="A113" s="52" t="n"/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</row>
    <row r="114">
      <c r="A114" s="52" t="n"/>
      <c r="B114" s="52" t="n"/>
      <c r="C114" s="52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</row>
    <row r="115">
      <c r="A115" s="52" t="n"/>
      <c r="B115" s="52" t="n"/>
      <c r="C115" s="52" t="n"/>
      <c r="D115" s="52" t="n"/>
      <c r="E115" s="52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</row>
    <row r="116">
      <c r="A116" s="52" t="n"/>
      <c r="B116" s="52" t="n"/>
      <c r="C116" s="52" t="n"/>
      <c r="D116" s="52" t="n"/>
      <c r="E116" s="52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</row>
    <row r="117">
      <c r="A117" s="52" t="n"/>
      <c r="B117" s="52" t="n"/>
      <c r="C117" s="52" t="n"/>
      <c r="D117" s="52" t="n"/>
      <c r="E117" s="52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</row>
    <row r="118">
      <c r="A118" s="52" t="n"/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</row>
    <row r="119">
      <c r="A119" s="52" t="n"/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</row>
    <row r="120">
      <c r="A120" s="52" t="n"/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</row>
    <row r="121">
      <c r="A121" s="52" t="n"/>
      <c r="B121" s="52" t="n"/>
      <c r="C121" s="52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</row>
    <row r="122">
      <c r="A122" s="52" t="n"/>
      <c r="B122" s="52" t="n"/>
      <c r="C122" s="52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</row>
    <row r="123">
      <c r="A123" s="52" t="n"/>
      <c r="B123" s="52" t="n"/>
      <c r="C123" s="52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</row>
    <row r="124">
      <c r="A124" s="52" t="n"/>
      <c r="B124" s="52" t="n"/>
      <c r="C124" s="52" t="n"/>
      <c r="D124" s="52" t="n"/>
      <c r="E124" s="52" t="n"/>
      <c r="F124" s="52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</row>
    <row r="125">
      <c r="A125" s="52" t="n"/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</row>
    <row r="126">
      <c r="A126" s="52" t="n"/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</row>
    <row r="127">
      <c r="A127" s="52" t="n"/>
      <c r="B127" s="52" t="n"/>
      <c r="C127" s="52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</row>
    <row r="128">
      <c r="A128" s="52" t="n"/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</row>
    <row r="129">
      <c r="A129" s="52" t="n"/>
      <c r="B129" s="52" t="n"/>
      <c r="C129" s="52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</row>
    <row r="130">
      <c r="A130" s="52" t="n"/>
      <c r="B130" s="52" t="n"/>
      <c r="C130" s="52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  <c r="Z130" s="52" t="n"/>
    </row>
    <row r="131">
      <c r="A131" s="52" t="n"/>
      <c r="B131" s="52" t="n"/>
      <c r="C131" s="52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  <c r="Z131" s="52" t="n"/>
    </row>
    <row r="132">
      <c r="A132" s="52" t="n"/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</row>
    <row r="133">
      <c r="A133" s="52" t="n"/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  <c r="Z133" s="52" t="n"/>
    </row>
    <row r="134">
      <c r="A134" s="52" t="n"/>
      <c r="B134" s="52" t="n"/>
      <c r="C134" s="52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  <c r="Z134" s="52" t="n"/>
    </row>
    <row r="135">
      <c r="A135" s="52" t="n"/>
      <c r="B135" s="52" t="n"/>
      <c r="C135" s="52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  <c r="Z135" s="52" t="n"/>
    </row>
    <row r="136">
      <c r="A136" s="52" t="n"/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  <c r="Z136" s="52" t="n"/>
    </row>
    <row r="137">
      <c r="A137" s="52" t="n"/>
      <c r="B137" s="52" t="n"/>
      <c r="C137" s="52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  <c r="Z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  <c r="Z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  <c r="Z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  <c r="Z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  <c r="Z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  <c r="Z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  <c r="Z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  <c r="Z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  <c r="Z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  <c r="Z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  <c r="Z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  <c r="Z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  <c r="Z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  <c r="Z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  <c r="Z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  <c r="Z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  <c r="Z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  <c r="Z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  <c r="Z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  <c r="Z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  <c r="Z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  <c r="Z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  <c r="Z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  <c r="X176" s="52" t="n"/>
      <c r="Y176" s="52" t="n"/>
      <c r="Z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  <c r="Z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  <c r="Y178" s="52" t="n"/>
      <c r="Z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  <c r="Y179" s="52" t="n"/>
      <c r="Z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  <c r="Z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  <c r="X182" s="52" t="n"/>
      <c r="Y182" s="52" t="n"/>
      <c r="Z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  <c r="Z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  <c r="Y184" s="52" t="n"/>
      <c r="Z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  <c r="Y185" s="52" t="n"/>
      <c r="Z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  <c r="Z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  <c r="X188" s="52" t="n"/>
      <c r="Y188" s="52" t="n"/>
      <c r="Z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  <c r="Z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  <c r="X194" s="52" t="n"/>
      <c r="Y194" s="52" t="n"/>
      <c r="Z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  <c r="Z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  <c r="Y196" s="52" t="n"/>
      <c r="Z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  <c r="Y197" s="52" t="n"/>
      <c r="Z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  <c r="Z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  <c r="X200" s="52" t="n"/>
      <c r="Y200" s="52" t="n"/>
      <c r="Z200" s="52" t="n"/>
    </row>
  </sheetData>
  <mergeCells count="2">
    <mergeCell ref="A3:F4"/>
    <mergeCell ref="A1:F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7" customWidth="1" style="188" min="1" max="1"/>
    <col width="47" customWidth="1" style="188" min="2" max="2"/>
    <col width="47" customWidth="1" style="188" min="3" max="3"/>
    <col width="56" customWidth="1" style="188" min="4" max="4"/>
  </cols>
  <sheetData>
    <row r="1">
      <c r="A1" s="322" t="inlineStr">
        <is>
          <t>the program support-plan needs → referral options</t>
        </is>
      </c>
      <c r="B1" s="323" t="n"/>
      <c r="C1" s="323" t="n"/>
      <c r="D1" s="323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</row>
    <row r="2">
      <c r="A2" s="323" t="n"/>
      <c r="B2" s="323" t="n"/>
      <c r="C2" s="323" t="n"/>
      <c r="D2" s="323" t="n"/>
      <c r="E2" s="52" t="n"/>
      <c r="F2" s="52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52" t="n"/>
      <c r="Z2" s="52" t="n"/>
    </row>
    <row r="3">
      <c r="A3" s="324" t="inlineStr">
        <is>
          <t>The expanded map now treats mentorship and soft/life-skills development as explicit referral domains, alongside material and clinical needs.</t>
        </is>
      </c>
      <c r="B3" s="323" t="n"/>
      <c r="C3" s="323" t="n"/>
      <c r="D3" s="323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2" t="n"/>
      <c r="Y3" s="52" t="n"/>
      <c r="Z3" s="52" t="n"/>
    </row>
    <row r="4">
      <c r="A4" s="323" t="n"/>
      <c r="B4" s="323" t="n"/>
      <c r="C4" s="323" t="n"/>
      <c r="D4" s="323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</row>
    <row r="5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2" t="n"/>
    </row>
    <row r="6">
      <c r="A6" s="208" t="inlineStr">
        <is>
          <t>Support-plan domain</t>
        </is>
      </c>
      <c r="B6" s="208" t="inlineStr">
        <is>
          <t>Primary referral options</t>
        </is>
      </c>
      <c r="C6" s="208" t="inlineStr">
        <is>
          <t>Backup / specialist options</t>
        </is>
      </c>
      <c r="D6" s="208" t="inlineStr">
        <is>
          <t>Referral strategy</t>
        </is>
      </c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52" t="n"/>
      <c r="X6" s="52" t="n"/>
      <c r="Y6" s="52" t="n"/>
      <c r="Z6" s="52" t="n"/>
    </row>
    <row r="7" ht="62" customHeight="1" s="188">
      <c r="A7" s="213" t="inlineStr">
        <is>
          <t>Housing stability</t>
        </is>
      </c>
      <c r="B7" s="213" t="inlineStr">
        <is>
          <t>Coordinated Entry; The Relatives Housing; Crisis Assistance Ministry</t>
        </is>
      </c>
      <c r="C7" s="213" t="inlineStr">
        <is>
          <t>Roof Above; INLIVIAN; Community Link</t>
        </is>
      </c>
      <c r="D7" s="213" t="inlineStr">
        <is>
          <t>Use Coordinated Entry for homelessness, but pursue prevention funds before eviction whenever possible.</t>
        </is>
      </c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</row>
    <row r="8" ht="62" customHeight="1" s="188">
      <c r="A8" s="213" t="inlineStr">
        <is>
          <t>Food and basic needs</t>
        </is>
      </c>
      <c r="B8" s="213" t="inlineStr">
        <is>
          <t>SNAP/FNS; Nourish Up; Crisis Assistance Free Store</t>
        </is>
      </c>
      <c r="C8" s="213" t="inlineStr">
        <is>
          <t>Second Harvest; Roof Above Day Services</t>
        </is>
      </c>
      <c r="D8" s="213" t="inlineStr">
        <is>
          <t>Pair emergency food with a benefits application so the plan is not pantry-dependent.</t>
        </is>
      </c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2" t="n"/>
    </row>
    <row r="9" ht="62" customHeight="1" s="188">
      <c r="A9" s="213" t="inlineStr">
        <is>
          <t>Employment</t>
        </is>
      </c>
      <c r="B9" s="213" t="inlineStr">
        <is>
          <t>NCWorks NextGen; Goodwill Career Center; Urban League</t>
        </is>
      </c>
      <c r="C9" s="213" t="inlineStr">
        <is>
          <t>Road to Hire; Year Up; Vocational Rehabilitation</t>
        </is>
      </c>
      <c r="D9" s="213" t="inlineStr">
        <is>
          <t>Choose one primary workforce coach to reduce duplicated plans and missed appointments.</t>
        </is>
      </c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</row>
    <row r="10" ht="62" customHeight="1" s="188">
      <c r="A10" s="213" t="inlineStr">
        <is>
          <t>Education</t>
        </is>
      </c>
      <c r="B10" s="213" t="inlineStr">
        <is>
          <t>Central Piedmont GED/CCR; NC Reach; ETV</t>
        </is>
      </c>
      <c r="C10" s="213" t="inlineStr">
        <is>
          <t>Library College &amp; Career Prep; UNC Charlotte Niner Needs</t>
        </is>
      </c>
      <c r="D10" s="213" t="inlineStr">
        <is>
          <t>Foster-specific education funds have strict age/status requirements; verify before registration.</t>
        </is>
      </c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52" t="n"/>
      <c r="Z10" s="52" t="n"/>
    </row>
    <row r="11" ht="62" customHeight="1" s="188">
      <c r="A11" s="213" t="inlineStr">
        <is>
          <t>Transportation</t>
        </is>
      </c>
      <c r="B11" s="213" t="inlineStr">
        <is>
          <t>CATS fares/passes; MTS for eligible trips</t>
        </is>
      </c>
      <c r="C11" s="213" t="inlineStr">
        <is>
          <t>CATS reduced fare ID</t>
        </is>
      </c>
      <c r="D11" s="213" t="inlineStr">
        <is>
          <t>Build a route and monthly transit budget before accepting a job or school schedule.</t>
        </is>
      </c>
      <c r="E11" s="52" t="n"/>
      <c r="F11" s="52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52" t="n"/>
      <c r="Z11" s="52" t="n"/>
    </row>
    <row r="12" ht="62" customHeight="1" s="188">
      <c r="A12" s="213" t="inlineStr">
        <is>
          <t>Primary health care</t>
        </is>
      </c>
      <c r="B12" s="213" t="inlineStr">
        <is>
          <t>Teen Health Connection; Care Ring; Charlotte Community Health Clinic</t>
        </is>
      </c>
      <c r="C12" s="213" t="inlineStr">
        <is>
          <t>C.W. Williams; Camino; county clinic directory</t>
        </is>
      </c>
      <c r="D12" s="213" t="inlineStr">
        <is>
          <t>Establish a medical home rather than relying on emergency departments.</t>
        </is>
      </c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2" t="n"/>
      <c r="Z12" s="52" t="n"/>
    </row>
    <row r="13" ht="62" customHeight="1" s="188">
      <c r="A13" s="213" t="inlineStr">
        <is>
          <t>Mental health</t>
        </is>
      </c>
      <c r="B13" s="213" t="inlineStr">
        <is>
          <t>Teen Health Connection; Alliance Health; Santé Mobile Crisis</t>
        </is>
      </c>
      <c r="C13" s="213" t="inlineStr">
        <is>
          <t>NAMI Charlotte; Time Out Youth</t>
        </is>
      </c>
      <c r="D13" s="213" t="inlineStr">
        <is>
          <t>Use 988/911 for crisis; routine therapy access often requires insurance and waitlist planning.</t>
        </is>
      </c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52" t="n"/>
      <c r="Z13" s="52" t="n"/>
    </row>
    <row r="14" ht="62" customHeight="1" s="188">
      <c r="A14" s="213" t="inlineStr">
        <is>
          <t>Substance-use recovery</t>
        </is>
      </c>
      <c r="B14" s="213" t="inlineStr">
        <is>
          <t>Anuvia; McLeod Centers</t>
        </is>
      </c>
      <c r="C14" s="213" t="inlineStr">
        <is>
          <t>Alliance Health; Roof Above wellness services</t>
        </is>
      </c>
      <c r="D14" s="213" t="inlineStr">
        <is>
          <t>Match the level of care to a clinical assessment; do not treat a peer mentor as treatment.</t>
        </is>
      </c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</row>
    <row r="15" ht="62" customHeight="1" s="188">
      <c r="A15" s="213" t="inlineStr">
        <is>
          <t>Benefits</t>
        </is>
      </c>
      <c r="B15" s="213" t="inlineStr">
        <is>
          <t>Mecklenburg DCR; Community Resource Centers; NC 211</t>
        </is>
      </c>
      <c r="C15" s="213" t="inlineStr">
        <is>
          <t>Charlotte Center for Legal Advocacy</t>
        </is>
      </c>
      <c r="D15" s="213" t="inlineStr">
        <is>
          <t>Track application date, case number, documents requested and appeal deadlines.</t>
        </is>
      </c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</row>
    <row r="16" ht="62" customHeight="1" s="188">
      <c r="A16" s="213" t="inlineStr">
        <is>
          <t>Budgeting / credit</t>
        </is>
      </c>
      <c r="B16" s="213" t="inlineStr">
        <is>
          <t>Common Wealth Charlotte; Crisis Assistance coaching</t>
        </is>
      </c>
      <c r="C16" s="213" t="inlineStr">
        <is>
          <t>Community Link</t>
        </is>
      </c>
      <c r="D16" s="213" t="inlineStr">
        <is>
          <t>Use counseling before high-cost loans or debt-consolidation products.</t>
        </is>
      </c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</row>
    <row r="17" ht="62" customHeight="1" s="188">
      <c r="A17" s="213" t="inlineStr">
        <is>
          <t>Documents / ID</t>
        </is>
      </c>
      <c r="B17" s="213" t="inlineStr">
        <is>
          <t>Mecklenburg Vital Records; I Am Here hotline</t>
        </is>
      </c>
      <c r="C17" s="213" t="inlineStr">
        <is>
          <t>Charlotte Center for Legal Advocacy</t>
        </is>
      </c>
      <c r="D17" s="213" t="inlineStr">
        <is>
          <t>Start early; missing identity documents can block work, housing, benefits and school.</t>
        </is>
      </c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</row>
    <row r="18" ht="62" customHeight="1" s="188">
      <c r="A18" s="213" t="inlineStr">
        <is>
          <t>Legal</t>
        </is>
      </c>
      <c r="B18" s="213" t="inlineStr">
        <is>
          <t>Charlotte Center for Legal Advocacy; Legal Aid NC</t>
        </is>
      </c>
      <c r="C18" s="213" t="inlineStr">
        <is>
          <t>Safe Alliance; Re-Entry Services</t>
        </is>
      </c>
      <c r="D18" s="213" t="inlineStr">
        <is>
          <t>Legal deadlines are unforgiving; make the referral as soon as notice or court papers appear.</t>
        </is>
      </c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</row>
    <row r="19" ht="62" customHeight="1" s="188">
      <c r="A19" s="213" t="inlineStr">
        <is>
          <t>Parenting / child care</t>
        </is>
      </c>
      <c r="B19" s="213" t="inlineStr">
        <is>
          <t>Child Care Resources; WIC; Nurse-Family Partnership</t>
        </is>
      </c>
      <c r="C19" s="213" t="inlineStr">
        <is>
          <t>Smart Start; Crittenton; Charlotte Family Housing</t>
        </is>
      </c>
      <c r="D19" s="213" t="inlineStr">
        <is>
          <t>Child care subsidy and actual provider placement are separate steps.</t>
        </is>
      </c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</row>
    <row r="20" ht="62" customHeight="1" s="188">
      <c r="A20" s="213" t="inlineStr">
        <is>
          <t>Safety / domestic violence / trafficking</t>
        </is>
      </c>
      <c r="B20" s="213" t="inlineStr">
        <is>
          <t>Safe Alliance; National Human Trafficking Hotline</t>
        </is>
      </c>
      <c r="C20" s="213" t="inlineStr">
        <is>
          <t>Hope for Justice; 911</t>
        </is>
      </c>
      <c r="D20" s="213" t="inlineStr">
        <is>
          <t>Use survivor-led safety planning and protect confidential location/contact information.</t>
        </is>
      </c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</row>
    <row r="21" ht="62" customHeight="1" s="188">
      <c r="A21" s="213" t="inlineStr">
        <is>
          <t>Mentorship / community / belonging</t>
        </is>
      </c>
      <c r="B21" s="213" t="inlineStr">
        <is>
          <t>program mentor; Home4Me LEG Up on LIFE; Charlotte Angels; SaySo</t>
        </is>
      </c>
      <c r="C21" s="213" t="inlineStr">
        <is>
          <t>CFK Mentor Match for youth under 18; Time Out Youth; Step Up to Leadership; faith/community partners</t>
        </is>
      </c>
      <c r="D21" s="213" t="inlineStr">
        <is>
          <t>Define roles clearly. One consistent relational through-line is more valuable than several helpers giving competing direction.</t>
        </is>
      </c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</row>
    <row r="22" ht="62" customHeight="1" s="188">
      <c r="A22" s="213" t="inlineStr">
        <is>
          <t>Soft skills / life skills</t>
        </is>
      </c>
      <c r="B22" s="213" t="inlineStr">
        <is>
          <t>Mecklenburg LINKS; Home4Me LEG Up on LIFE; City JCRT; The Relatives On Ramp</t>
        </is>
      </c>
      <c r="C22" s="213" t="inlineStr">
        <is>
          <t>Community Culinary School; Per Scholas; Common Heart; Charlotte Area Fund; Goodwill/NCWorks</t>
        </is>
      </c>
      <c r="D22" s="213" t="inlineStr">
        <is>
          <t>Choose the program that lets the young adult practice the skill in a real setting. Avoid sending someone to several overlapping classroom-style programs at once.</t>
        </is>
      </c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</row>
    <row r="23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</row>
    <row r="24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</row>
    <row r="25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</row>
    <row r="26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</row>
    <row r="27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</row>
    <row r="28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</row>
    <row r="29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</row>
    <row r="30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</row>
    <row r="3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</row>
    <row r="32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</row>
    <row r="33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</row>
    <row r="34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</row>
    <row r="35">
      <c r="A35" s="52" t="n"/>
      <c r="B35" s="52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</row>
    <row r="36">
      <c r="A36" s="52" t="n"/>
      <c r="B36" s="52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</row>
    <row r="37">
      <c r="A37" s="52" t="n"/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</row>
    <row r="38">
      <c r="A38" s="52" t="n"/>
      <c r="B38" s="52" t="n"/>
      <c r="C38" s="52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</row>
    <row r="39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</row>
    <row r="40">
      <c r="A40" s="52" t="n"/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</row>
    <row r="41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</row>
    <row r="42">
      <c r="A42" s="52" t="n"/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</row>
    <row r="43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</row>
    <row r="44">
      <c r="A44" s="52" t="n"/>
      <c r="B44" s="52" t="n"/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</row>
    <row r="45">
      <c r="A45" s="52" t="n"/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</row>
    <row r="46">
      <c r="A46" s="52" t="n"/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</row>
    <row r="47">
      <c r="A47" s="52" t="n"/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</row>
    <row r="48">
      <c r="A48" s="52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</row>
    <row r="49">
      <c r="A49" s="52" t="n"/>
      <c r="B49" s="52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</row>
    <row r="50">
      <c r="A50" s="52" t="n"/>
      <c r="B50" s="52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</row>
    <row r="51">
      <c r="A51" s="52" t="n"/>
      <c r="B51" s="52" t="n"/>
      <c r="C51" s="52" t="n"/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</row>
    <row r="52">
      <c r="A52" s="52" t="n"/>
      <c r="B52" s="52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</row>
    <row r="53">
      <c r="A53" s="52" t="n"/>
      <c r="B53" s="52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52" t="n"/>
      <c r="Z53" s="52" t="n"/>
    </row>
    <row r="54">
      <c r="A54" s="52" t="n"/>
      <c r="B54" s="52" t="n"/>
      <c r="C54" s="52" t="n"/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52" t="n"/>
      <c r="Z54" s="52" t="n"/>
    </row>
    <row r="55">
      <c r="A55" s="52" t="n"/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52" t="n"/>
      <c r="Z55" s="52" t="n"/>
    </row>
    <row r="56">
      <c r="A56" s="52" t="n"/>
      <c r="B56" s="52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52" t="n"/>
      <c r="Z56" s="52" t="n"/>
    </row>
    <row r="57">
      <c r="A57" s="52" t="n"/>
      <c r="B57" s="52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</row>
    <row r="58">
      <c r="A58" s="52" t="n"/>
      <c r="B58" s="52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52" t="n"/>
      <c r="Z58" s="52" t="n"/>
    </row>
    <row r="59">
      <c r="A59" s="52" t="n"/>
      <c r="B59" s="52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</row>
    <row r="60">
      <c r="A60" s="52" t="n"/>
      <c r="B60" s="52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</row>
    <row r="61">
      <c r="A61" s="52" t="n"/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</row>
    <row r="62">
      <c r="A62" s="52" t="n"/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52" t="n"/>
      <c r="Z62" s="52" t="n"/>
    </row>
    <row r="63">
      <c r="A63" s="52" t="n"/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</row>
    <row r="64">
      <c r="A64" s="52" t="n"/>
      <c r="B64" s="52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</row>
    <row r="65">
      <c r="A65" s="52" t="n"/>
      <c r="B65" s="52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</row>
    <row r="66">
      <c r="A66" s="52" t="n"/>
      <c r="B66" s="52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</row>
    <row r="67">
      <c r="A67" s="52" t="n"/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</row>
    <row r="68">
      <c r="A68" s="52" t="n"/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</row>
    <row r="69">
      <c r="A69" s="52" t="n"/>
      <c r="B69" s="52" t="n"/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</row>
    <row r="70">
      <c r="A70" s="52" t="n"/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</row>
    <row r="71">
      <c r="A71" s="52" t="n"/>
      <c r="B71" s="52" t="n"/>
      <c r="C71" s="52" t="n"/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</row>
    <row r="72">
      <c r="A72" s="52" t="n"/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</row>
    <row r="73">
      <c r="A73" s="52" t="n"/>
      <c r="B73" s="52" t="n"/>
      <c r="C73" s="52" t="n"/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</row>
    <row r="74">
      <c r="A74" s="52" t="n"/>
      <c r="B74" s="52" t="n"/>
      <c r="C74" s="52" t="n"/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</row>
    <row r="75">
      <c r="A75" s="52" t="n"/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</row>
    <row r="76">
      <c r="A76" s="52" t="n"/>
      <c r="B76" s="52" t="n"/>
      <c r="C76" s="52" t="n"/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</row>
    <row r="77">
      <c r="A77" s="52" t="n"/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52" t="n"/>
      <c r="Z77" s="52" t="n"/>
    </row>
    <row r="78">
      <c r="A78" s="52" t="n"/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</row>
    <row r="79">
      <c r="A79" s="52" t="n"/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</row>
    <row r="80">
      <c r="A80" s="52" t="n"/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</row>
    <row r="81">
      <c r="A81" s="52" t="n"/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</row>
    <row r="82">
      <c r="A82" s="52" t="n"/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</row>
    <row r="83">
      <c r="A83" s="52" t="n"/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</row>
    <row r="84">
      <c r="A84" s="52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</row>
    <row r="85">
      <c r="A85" s="52" t="n"/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</row>
    <row r="86">
      <c r="A86" s="52" t="n"/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</row>
    <row r="87">
      <c r="A87" s="52" t="n"/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</row>
    <row r="88">
      <c r="A88" s="52" t="n"/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</row>
    <row r="89">
      <c r="A89" s="52" t="n"/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</row>
    <row r="90">
      <c r="A90" s="52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</row>
    <row r="91">
      <c r="A91" s="52" t="n"/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</row>
    <row r="92">
      <c r="A92" s="52" t="n"/>
      <c r="B92" s="52" t="n"/>
      <c r="C92" s="52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</row>
    <row r="93">
      <c r="A93" s="52" t="n"/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</row>
    <row r="94">
      <c r="A94" s="52" t="n"/>
      <c r="B94" s="52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</row>
    <row r="95">
      <c r="A95" s="52" t="n"/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</row>
    <row r="96">
      <c r="A96" s="52" t="n"/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</row>
    <row r="97">
      <c r="A97" s="52" t="n"/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</row>
    <row r="98">
      <c r="A98" s="52" t="n"/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</row>
    <row r="99">
      <c r="A99" s="52" t="n"/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</row>
    <row r="100">
      <c r="A100" s="52" t="n"/>
      <c r="B100" s="52" t="n"/>
      <c r="C100" s="52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</row>
    <row r="101">
      <c r="A101" s="52" t="n"/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</row>
    <row r="102">
      <c r="A102" s="52" t="n"/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</row>
    <row r="103">
      <c r="A103" s="52" t="n"/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</row>
    <row r="104">
      <c r="A104" s="52" t="n"/>
      <c r="B104" s="52" t="n"/>
      <c r="C104" s="52" t="n"/>
      <c r="D104" s="52" t="n"/>
      <c r="E104" s="52" t="n"/>
      <c r="F104" s="52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</row>
    <row r="105">
      <c r="A105" s="52" t="n"/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</row>
    <row r="106">
      <c r="A106" s="52" t="n"/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</row>
    <row r="107">
      <c r="A107" s="52" t="n"/>
      <c r="B107" s="52" t="n"/>
      <c r="C107" s="52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</row>
    <row r="108">
      <c r="A108" s="52" t="n"/>
      <c r="B108" s="52" t="n"/>
      <c r="C108" s="52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</row>
    <row r="109">
      <c r="A109" s="52" t="n"/>
      <c r="B109" s="52" t="n"/>
      <c r="C109" s="52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</row>
    <row r="110">
      <c r="A110" s="52" t="n"/>
      <c r="B110" s="52" t="n"/>
      <c r="C110" s="52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</row>
    <row r="111">
      <c r="A111" s="52" t="n"/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</row>
    <row r="112">
      <c r="A112" s="52" t="n"/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</row>
    <row r="113">
      <c r="A113" s="52" t="n"/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</row>
    <row r="114">
      <c r="A114" s="52" t="n"/>
      <c r="B114" s="52" t="n"/>
      <c r="C114" s="52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</row>
    <row r="115">
      <c r="A115" s="52" t="n"/>
      <c r="B115" s="52" t="n"/>
      <c r="C115" s="52" t="n"/>
      <c r="D115" s="52" t="n"/>
      <c r="E115" s="52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</row>
    <row r="116">
      <c r="A116" s="52" t="n"/>
      <c r="B116" s="52" t="n"/>
      <c r="C116" s="52" t="n"/>
      <c r="D116" s="52" t="n"/>
      <c r="E116" s="52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</row>
    <row r="117">
      <c r="A117" s="52" t="n"/>
      <c r="B117" s="52" t="n"/>
      <c r="C117" s="52" t="n"/>
      <c r="D117" s="52" t="n"/>
      <c r="E117" s="52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</row>
    <row r="118">
      <c r="A118" s="52" t="n"/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</row>
    <row r="119">
      <c r="A119" s="52" t="n"/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</row>
    <row r="120">
      <c r="A120" s="52" t="n"/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</row>
    <row r="121">
      <c r="A121" s="52" t="n"/>
      <c r="B121" s="52" t="n"/>
      <c r="C121" s="52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</row>
    <row r="122">
      <c r="A122" s="52" t="n"/>
      <c r="B122" s="52" t="n"/>
      <c r="C122" s="52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</row>
    <row r="123">
      <c r="A123" s="52" t="n"/>
      <c r="B123" s="52" t="n"/>
      <c r="C123" s="52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</row>
    <row r="124">
      <c r="A124" s="52" t="n"/>
      <c r="B124" s="52" t="n"/>
      <c r="C124" s="52" t="n"/>
      <c r="D124" s="52" t="n"/>
      <c r="E124" s="52" t="n"/>
      <c r="F124" s="52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</row>
    <row r="125">
      <c r="A125" s="52" t="n"/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</row>
    <row r="126">
      <c r="A126" s="52" t="n"/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</row>
    <row r="127">
      <c r="A127" s="52" t="n"/>
      <c r="B127" s="52" t="n"/>
      <c r="C127" s="52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</row>
    <row r="128">
      <c r="A128" s="52" t="n"/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</row>
    <row r="129">
      <c r="A129" s="52" t="n"/>
      <c r="B129" s="52" t="n"/>
      <c r="C129" s="52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</row>
    <row r="130">
      <c r="A130" s="52" t="n"/>
      <c r="B130" s="52" t="n"/>
      <c r="C130" s="52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  <c r="Z130" s="52" t="n"/>
    </row>
    <row r="131">
      <c r="A131" s="52" t="n"/>
      <c r="B131" s="52" t="n"/>
      <c r="C131" s="52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  <c r="Z131" s="52" t="n"/>
    </row>
    <row r="132">
      <c r="A132" s="52" t="n"/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</row>
    <row r="133">
      <c r="A133" s="52" t="n"/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  <c r="Z133" s="52" t="n"/>
    </row>
    <row r="134">
      <c r="A134" s="52" t="n"/>
      <c r="B134" s="52" t="n"/>
      <c r="C134" s="52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  <c r="Z134" s="52" t="n"/>
    </row>
    <row r="135">
      <c r="A135" s="52" t="n"/>
      <c r="B135" s="52" t="n"/>
      <c r="C135" s="52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  <c r="Z135" s="52" t="n"/>
    </row>
    <row r="136">
      <c r="A136" s="52" t="n"/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  <c r="Z136" s="52" t="n"/>
    </row>
    <row r="137">
      <c r="A137" s="52" t="n"/>
      <c r="B137" s="52" t="n"/>
      <c r="C137" s="52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  <c r="Z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  <c r="Z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  <c r="Z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  <c r="Z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  <c r="Z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  <c r="Z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  <c r="Z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  <c r="Z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  <c r="Z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  <c r="Z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  <c r="Z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  <c r="Z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  <c r="Z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  <c r="Z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  <c r="Z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  <c r="Z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  <c r="Z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  <c r="Z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  <c r="Z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  <c r="Z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  <c r="Z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  <c r="Z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  <c r="Z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  <c r="X176" s="52" t="n"/>
      <c r="Y176" s="52" t="n"/>
      <c r="Z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  <c r="Z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  <c r="Y178" s="52" t="n"/>
      <c r="Z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  <c r="Y179" s="52" t="n"/>
      <c r="Z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  <c r="Z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  <c r="X182" s="52" t="n"/>
      <c r="Y182" s="52" t="n"/>
      <c r="Z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  <c r="Z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  <c r="Y184" s="52" t="n"/>
      <c r="Z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  <c r="Y185" s="52" t="n"/>
      <c r="Z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  <c r="Z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  <c r="X188" s="52" t="n"/>
      <c r="Y188" s="52" t="n"/>
      <c r="Z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  <c r="Z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  <c r="X194" s="52" t="n"/>
      <c r="Y194" s="52" t="n"/>
      <c r="Z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  <c r="Z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  <c r="Y196" s="52" t="n"/>
      <c r="Z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  <c r="Y197" s="52" t="n"/>
      <c r="Z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  <c r="Z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  <c r="X200" s="52" t="n"/>
      <c r="Y200" s="52" t="n"/>
      <c r="Z200" s="52" t="n"/>
    </row>
  </sheetData>
  <mergeCells count="2">
    <mergeCell ref="A3:D4"/>
    <mergeCell ref="A1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1" customWidth="1" style="188" min="1" max="1"/>
    <col width="46" customWidth="1" style="188" min="2" max="2"/>
    <col width="46" customWidth="1" style="188" min="3" max="3"/>
    <col width="46" customWidth="1" style="188" min="4" max="4"/>
    <col width="12" customWidth="1" style="188" min="5" max="5"/>
    <col width="23" customWidth="1" style="188" min="6" max="6"/>
    <col width="18" customWidth="1" style="188" min="7" max="7"/>
    <col width="34" customWidth="1" style="188" min="8" max="8"/>
  </cols>
  <sheetData>
    <row r="1">
      <c r="A1" s="322" t="inlineStr">
        <is>
          <t>Recommended the program partnership priorities</t>
        </is>
      </c>
      <c r="B1" s="323" t="n"/>
      <c r="C1" s="323" t="n"/>
      <c r="D1" s="323" t="n"/>
      <c r="E1" s="323" t="n"/>
      <c r="F1" s="323" t="n"/>
      <c r="G1" s="323" t="n"/>
      <c r="H1" s="323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</row>
    <row r="2">
      <c r="A2" s="323" t="n"/>
      <c r="B2" s="323" t="n"/>
      <c r="C2" s="323" t="n"/>
      <c r="D2" s="323" t="n"/>
      <c r="E2" s="323" t="n"/>
      <c r="F2" s="323" t="n"/>
      <c r="G2" s="323" t="n"/>
      <c r="H2" s="323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52" t="n"/>
      <c r="Z2" s="52" t="n"/>
    </row>
    <row r="3">
      <c r="A3" s="324" t="inlineStr">
        <is>
          <t>The expansion adds potential partners for foster-specific life skills, career readiness, technical training, culinary workforce development and Union County support.</t>
        </is>
      </c>
      <c r="B3" s="323" t="n"/>
      <c r="C3" s="323" t="n"/>
      <c r="D3" s="323" t="n"/>
      <c r="E3" s="323" t="n"/>
      <c r="F3" s="323" t="n"/>
      <c r="G3" s="323" t="n"/>
      <c r="H3" s="323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2" t="n"/>
      <c r="Y3" s="52" t="n"/>
      <c r="Z3" s="52" t="n"/>
    </row>
    <row r="4">
      <c r="A4" s="323" t="n"/>
      <c r="B4" s="323" t="n"/>
      <c r="C4" s="323" t="n"/>
      <c r="D4" s="323" t="n"/>
      <c r="E4" s="323" t="n"/>
      <c r="F4" s="323" t="n"/>
      <c r="G4" s="323" t="n"/>
      <c r="H4" s="323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</row>
    <row r="5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2" t="n"/>
    </row>
    <row r="6">
      <c r="A6" s="208" t="inlineStr">
        <is>
          <t>Organization</t>
        </is>
      </c>
      <c r="B6" s="208" t="inlineStr">
        <is>
          <t>Why strategic</t>
        </is>
      </c>
      <c r="C6" s="208" t="inlineStr">
        <is>
          <t>Suggested first ask</t>
        </is>
      </c>
      <c r="D6" s="208" t="inlineStr">
        <is>
          <t>Referral pathway to document</t>
        </is>
      </c>
      <c r="E6" s="208" t="inlineStr">
        <is>
          <t>Priority</t>
        </is>
      </c>
      <c r="F6" s="208" t="inlineStr">
        <is>
          <t>Status</t>
        </is>
      </c>
      <c r="G6" s="208" t="inlineStr">
        <is>
          <t>Owner</t>
        </is>
      </c>
      <c r="H6" s="208" t="inlineStr">
        <is>
          <t>Notes</t>
        </is>
      </c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52" t="n"/>
      <c r="X6" s="52" t="n"/>
      <c r="Y6" s="52" t="n"/>
      <c r="Z6" s="52" t="n"/>
    </row>
    <row r="7" ht="66" customHeight="1" s="188">
      <c r="A7" s="213" t="inlineStr">
        <is>
          <t>The Relatives</t>
        </is>
      </c>
      <c r="B7" s="213" t="inlineStr">
        <is>
          <t>Highest-leverage youth hub for ages 16–24; housing and broad case management</t>
        </is>
      </c>
      <c r="C7" s="213" t="inlineStr">
        <is>
          <t>Create a named referral contact and two-way warm-handoff process</t>
        </is>
      </c>
      <c r="D7" s="213" t="inlineStr">
        <is>
          <t>Referral form, consent, response-time expectation, status updates</t>
        </is>
      </c>
      <c r="E7" s="213" t="inlineStr">
        <is>
          <t>High</t>
        </is>
      </c>
      <c r="F7" s="213" t="inlineStr">
        <is>
          <t>Not started</t>
        </is>
      </c>
      <c r="G7" s="213" t="str"/>
      <c r="H7" s="213" t="str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</row>
    <row r="8" ht="66" customHeight="1" s="188">
      <c r="A8" s="213" t="inlineStr">
        <is>
          <t>Mecklenburg LINKS / Phoenix Project</t>
        </is>
      </c>
      <c r="B8" s="213" t="inlineStr">
        <is>
          <t>Gateway to foster-specific benefits with hard age cutoffs</t>
        </is>
      </c>
      <c r="C8" s="213" t="inlineStr">
        <is>
          <t>Quarterly eligibility case review for young adults under 21</t>
        </is>
      </c>
      <c r="D8" s="213" t="inlineStr">
        <is>
          <t>Release, eligibility checklist, age-out deadline alerts</t>
        </is>
      </c>
      <c r="E8" s="213" t="inlineStr">
        <is>
          <t>High</t>
        </is>
      </c>
      <c r="F8" s="213" t="inlineStr">
        <is>
          <t>Not started</t>
        </is>
      </c>
      <c r="G8" s="213" t="str"/>
      <c r="H8" s="213" t="str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2" t="n"/>
    </row>
    <row r="9" ht="66" customHeight="1" s="188">
      <c r="A9" s="213" t="inlineStr">
        <is>
          <t>Youth Villages LifeSet</t>
        </is>
      </c>
      <c r="B9" s="213" t="inlineStr">
        <is>
          <t>Evidence-informed intensive transition support for eligible foster youth</t>
        </is>
      </c>
      <c r="C9" s="213" t="inlineStr">
        <is>
          <t>Clarify referral criteria and how LifeSet and program mentorship can coexist</t>
        </is>
      </c>
      <c r="D9" s="213" t="inlineStr">
        <is>
          <t>Referral source, duplication boundaries, case communication</t>
        </is>
      </c>
      <c r="E9" s="213" t="inlineStr">
        <is>
          <t>High</t>
        </is>
      </c>
      <c r="F9" s="213" t="inlineStr">
        <is>
          <t>Not started</t>
        </is>
      </c>
      <c r="G9" s="213" t="str"/>
      <c r="H9" s="213" t="str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</row>
    <row r="10" ht="66" customHeight="1" s="188">
      <c r="A10" s="213" t="inlineStr">
        <is>
          <t>Mecklenburg Coordinated Entry</t>
        </is>
      </c>
      <c r="B10" s="213" t="inlineStr">
        <is>
          <t>Required gateway for much of the homelessness system</t>
        </is>
      </c>
      <c r="C10" s="213" t="inlineStr">
        <is>
          <t>Learn the assessment process and escalation path for youth</t>
        </is>
      </c>
      <c r="D10" s="213" t="inlineStr">
        <is>
          <t>Call workflow, documents, consent, callback tracking</t>
        </is>
      </c>
      <c r="E10" s="213" t="inlineStr">
        <is>
          <t>High</t>
        </is>
      </c>
      <c r="F10" s="213" t="inlineStr">
        <is>
          <t>Not started</t>
        </is>
      </c>
      <c r="G10" s="213" t="str"/>
      <c r="H10" s="213" t="str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52" t="n"/>
      <c r="Z10" s="52" t="n"/>
    </row>
    <row r="11" ht="66" customHeight="1" s="188">
      <c r="A11" s="213" t="inlineStr">
        <is>
          <t>Crisis Assistance Ministry</t>
        </is>
      </c>
      <c r="B11" s="213" t="inlineStr">
        <is>
          <t>Core eviction-prevention and essential-goods resource</t>
        </is>
      </c>
      <c r="C11" s="213" t="inlineStr">
        <is>
          <t>Establish document checklist and a referral contact</t>
        </is>
      </c>
      <c r="D11" s="213" t="inlineStr">
        <is>
          <t>Landlord/utility documents, appointment process, outcome feedback</t>
        </is>
      </c>
      <c r="E11" s="213" t="inlineStr">
        <is>
          <t>High</t>
        </is>
      </c>
      <c r="F11" s="213" t="inlineStr">
        <is>
          <t>Not started</t>
        </is>
      </c>
      <c r="G11" s="213" t="str"/>
      <c r="H11" s="213" t="str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52" t="n"/>
      <c r="Z11" s="52" t="n"/>
    </row>
    <row r="12" ht="66" customHeight="1" s="188">
      <c r="A12" s="213" t="inlineStr">
        <is>
          <t>Teen Health Connection</t>
        </is>
      </c>
      <c r="B12" s="213" t="inlineStr">
        <is>
          <t>Age-aligned integrated medical and behavioral care through 25</t>
        </is>
      </c>
      <c r="C12" s="213" t="inlineStr">
        <is>
          <t>Create a direct appointment/referral workflow</t>
        </is>
      </c>
      <c r="D12" s="213" t="inlineStr">
        <is>
          <t>Consent, insurance, no-show rescheduling, crisis boundary</t>
        </is>
      </c>
      <c r="E12" s="213" t="inlineStr">
        <is>
          <t>High</t>
        </is>
      </c>
      <c r="F12" s="213" t="inlineStr">
        <is>
          <t>Not started</t>
        </is>
      </c>
      <c r="G12" s="213" t="str"/>
      <c r="H12" s="213" t="str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2" t="n"/>
      <c r="Z12" s="52" t="n"/>
    </row>
    <row r="13" ht="66" customHeight="1" s="188">
      <c r="A13" s="213" t="inlineStr">
        <is>
          <t>Care Ring</t>
        </is>
      </c>
      <c r="B13" s="213" t="inlineStr">
        <is>
          <t>Safety-net primary care and first-time-parent home visiting</t>
        </is>
      </c>
      <c r="C13" s="213" t="inlineStr">
        <is>
          <t>Clarify uninsured referral and fee documentation</t>
        </is>
      </c>
      <c r="D13" s="213" t="inlineStr">
        <is>
          <t>Eligibility documents, appointment lead times, follow-up</t>
        </is>
      </c>
      <c r="E13" s="213" t="inlineStr">
        <is>
          <t>High</t>
        </is>
      </c>
      <c r="F13" s="213" t="inlineStr">
        <is>
          <t>Not started</t>
        </is>
      </c>
      <c r="G13" s="213" t="str"/>
      <c r="H13" s="213" t="str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52" t="n"/>
      <c r="Z13" s="52" t="n"/>
    </row>
    <row r="14" ht="66" customHeight="1" s="188">
      <c r="A14" s="213" t="inlineStr">
        <is>
          <t>Charlotte Center for Legal Advocacy</t>
        </is>
      </c>
      <c r="B14" s="213" t="inlineStr">
        <is>
          <t>Benefits, housing, health and civil legal issues commonly block stability</t>
        </is>
      </c>
      <c r="C14" s="213" t="inlineStr">
        <is>
          <t>Request staff training on issue spotting and urgent deadlines</t>
        </is>
      </c>
      <c r="D14" s="213" t="inlineStr">
        <is>
          <t>Intake categories, emergency escalation, document transfer</t>
        </is>
      </c>
      <c r="E14" s="213" t="inlineStr">
        <is>
          <t>High</t>
        </is>
      </c>
      <c r="F14" s="213" t="inlineStr">
        <is>
          <t>Not started</t>
        </is>
      </c>
      <c r="G14" s="213" t="str"/>
      <c r="H14" s="213" t="str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</row>
    <row r="15" ht="66" customHeight="1" s="188">
      <c r="A15" s="213" t="inlineStr">
        <is>
          <t>NCWorks NextGen / Charlotte Works</t>
        </is>
      </c>
      <c r="B15" s="213" t="inlineStr">
        <is>
          <t>Age-specific workforce services and supportive funding</t>
        </is>
      </c>
      <c r="C15" s="213" t="inlineStr">
        <is>
          <t>Create a shared employment referral checklist</t>
        </is>
      </c>
      <c r="D15" s="213" t="inlineStr">
        <is>
          <t>Eligibility documents, assigned coach, attendance expectations</t>
        </is>
      </c>
      <c r="E15" s="213" t="inlineStr">
        <is>
          <t>High</t>
        </is>
      </c>
      <c r="F15" s="213" t="inlineStr">
        <is>
          <t>Not started</t>
        </is>
      </c>
      <c r="G15" s="213" t="str"/>
      <c r="H15" s="213" t="str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</row>
    <row r="16" ht="66" customHeight="1" s="188">
      <c r="A16" s="213" t="inlineStr">
        <is>
          <t>Common Wealth Charlotte</t>
        </is>
      </c>
      <c r="B16" s="213" t="inlineStr">
        <is>
          <t>Budgeting, credit and safe financial products fit the program's independence goals</t>
        </is>
      </c>
      <c r="C16" s="213" t="inlineStr">
        <is>
          <t>Arrange recurring financial-counseling slots or workshops</t>
        </is>
      </c>
      <c r="D16" s="213" t="inlineStr">
        <is>
          <t>Consent, attendance, coaching scope, loan boundaries</t>
        </is>
      </c>
      <c r="E16" s="213" t="inlineStr">
        <is>
          <t>High</t>
        </is>
      </c>
      <c r="F16" s="213" t="inlineStr">
        <is>
          <t>Not started</t>
        </is>
      </c>
      <c r="G16" s="213" t="str"/>
      <c r="H16" s="213" t="str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</row>
    <row r="17" ht="66" customHeight="1" s="188">
      <c r="A17" s="213" t="inlineStr">
        <is>
          <t>Anuvia</t>
        </is>
      </c>
      <c r="B17" s="213" t="inlineStr">
        <is>
          <t>Local continuum for substance-use assessment and treatment</t>
        </is>
      </c>
      <c r="C17" s="213" t="inlineStr">
        <is>
          <t>Define assessment and urgent detox referral steps</t>
        </is>
      </c>
      <c r="D17" s="213" t="inlineStr">
        <is>
          <t>Clinical confidentiality, transportation, payment, discharge coordination</t>
        </is>
      </c>
      <c r="E17" s="213" t="inlineStr">
        <is>
          <t>High</t>
        </is>
      </c>
      <c r="F17" s="213" t="inlineStr">
        <is>
          <t>Not started</t>
        </is>
      </c>
      <c r="G17" s="213" t="str"/>
      <c r="H17" s="213" t="str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</row>
    <row r="18" ht="66" customHeight="1" s="188">
      <c r="A18" s="213" t="inlineStr">
        <is>
          <t>Child Care Resources Inc.</t>
        </is>
      </c>
      <c r="B18" s="213" t="inlineStr">
        <is>
          <t>Child care is a frequent barrier to work and school for young parents</t>
        </is>
      </c>
      <c r="C18" s="213" t="inlineStr">
        <is>
          <t>Create subsidy plus provider-search referral workflow</t>
        </is>
      </c>
      <c r="D18" s="213" t="inlineStr">
        <is>
          <t>Documents, waitlist, approved activity, provider placement</t>
        </is>
      </c>
      <c r="E18" s="213" t="inlineStr">
        <is>
          <t>Medium</t>
        </is>
      </c>
      <c r="F18" s="213" t="inlineStr">
        <is>
          <t>Not started</t>
        </is>
      </c>
      <c r="G18" s="213" t="str"/>
      <c r="H18" s="213" t="str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</row>
    <row r="19" ht="66" customHeight="1" s="188">
      <c r="A19" s="213" t="inlineStr">
        <is>
          <t>Time Out Youth</t>
        </is>
      </c>
      <c r="B19" s="213" t="inlineStr">
        <is>
          <t>Affirming housing, counseling and community for LGBTQ+ young adults</t>
        </is>
      </c>
      <c r="C19" s="213" t="inlineStr">
        <is>
          <t>Establish a confidential specialist referral relationship</t>
        </is>
      </c>
      <c r="D19" s="213" t="inlineStr">
        <is>
          <t>Consent, privacy, housing/therapy waitlists, role boundaries</t>
        </is>
      </c>
      <c r="E19" s="213" t="inlineStr">
        <is>
          <t>Medium</t>
        </is>
      </c>
      <c r="F19" s="213" t="inlineStr">
        <is>
          <t>Not started</t>
        </is>
      </c>
      <c r="G19" s="213" t="str"/>
      <c r="H19" s="213" t="str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</row>
    <row r="20" ht="66" customHeight="1" s="188">
      <c r="A20" s="213" t="inlineStr">
        <is>
          <t>Safe Alliance</t>
        </is>
      </c>
      <c r="B20" s="213" t="inlineStr">
        <is>
          <t>Critical safety partner for domestic violence and sexual assault</t>
        </is>
      </c>
      <c r="C20" s="213" t="inlineStr">
        <is>
          <t>Request trauma-informed referral and safety-planning training</t>
        </is>
      </c>
      <c r="D20" s="213" t="inlineStr">
        <is>
          <t>Confidential contact method, emergency versus non-emergency, releases</t>
        </is>
      </c>
      <c r="E20" s="213" t="inlineStr">
        <is>
          <t>High</t>
        </is>
      </c>
      <c r="F20" s="213" t="inlineStr">
        <is>
          <t>Not started</t>
        </is>
      </c>
      <c r="G20" s="213" t="str"/>
      <c r="H20" s="213" t="str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</row>
    <row r="21" ht="66" customHeight="1" s="188">
      <c r="A21" s="213" t="inlineStr">
        <is>
          <t>Disability Rights &amp; Resources / EIPD</t>
        </is>
      </c>
      <c r="B21" s="213" t="inlineStr">
        <is>
          <t>Disability can affect work, transit, benefits and independent living</t>
        </is>
      </c>
      <c r="C21" s="213" t="inlineStr">
        <is>
          <t>Clarify when to refer to CIL versus vocational rehabilitation</t>
        </is>
      </c>
      <c r="D21" s="213" t="inlineStr">
        <is>
          <t>Disability documentation, goals, benefits counseling, employment plan</t>
        </is>
      </c>
      <c r="E21" s="213" t="inlineStr">
        <is>
          <t>Medium</t>
        </is>
      </c>
      <c r="F21" s="213" t="inlineStr">
        <is>
          <t>Not started</t>
        </is>
      </c>
      <c r="G21" s="213" t="str"/>
      <c r="H21" s="213" t="str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</row>
    <row r="22" ht="66" customHeight="1" s="188">
      <c r="A22" s="213" t="inlineStr">
        <is>
          <t>Central Piedmont</t>
        </is>
      </c>
      <c r="B22" s="213" t="inlineStr">
        <is>
          <t>Primary local path for GED, adult education and affordable credentials</t>
        </is>
      </c>
      <c r="C22" s="213" t="inlineStr">
        <is>
          <t>Identify a navigator for former foster youth and directory referrals</t>
        </is>
      </c>
      <c r="D22" s="213" t="inlineStr">
        <is>
          <t>Placement testing, FAFSA, NC Reach/ETV, attendance support</t>
        </is>
      </c>
      <c r="E22" s="213" t="inlineStr">
        <is>
          <t>High</t>
        </is>
      </c>
      <c r="F22" s="213" t="inlineStr">
        <is>
          <t>Not started</t>
        </is>
      </c>
      <c r="G22" s="213" t="str"/>
      <c r="H22" s="213" t="str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</row>
    <row r="23" ht="66" customHeight="1" s="188">
      <c r="A23" s="213" t="inlineStr">
        <is>
          <t>Home4Me</t>
        </is>
      </c>
      <c r="B23" s="213" t="inlineStr">
        <is>
          <t>Local foster-specific mentoring and life-skills support that complements the program relationships</t>
        </is>
      </c>
      <c r="C23" s="213" t="inlineStr">
        <is>
          <t>Clarify enrollment, age tracks and how individual coaching can complement a program mentor</t>
        </is>
      </c>
      <c r="D23" s="213" t="inlineStr">
        <is>
          <t>Eligibility, consent, meeting schedule, staff contact and progress communication</t>
        </is>
      </c>
      <c r="E23" s="213" t="inlineStr">
        <is>
          <t>High</t>
        </is>
      </c>
      <c r="F23" s="213" t="inlineStr">
        <is>
          <t>Not started</t>
        </is>
      </c>
      <c r="G23" s="213" t="str"/>
      <c r="H23" s="213" t="str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</row>
    <row r="24" ht="66" customHeight="1" s="188">
      <c r="A24" s="213" t="inlineStr">
        <is>
          <t>City Office of Youth Opportunities</t>
        </is>
      </c>
      <c r="B24" s="213" t="inlineStr">
        <is>
          <t>Career-readiness and soft-skills cohorts have served young adults through age 24</t>
        </is>
      </c>
      <c r="C24" s="213" t="inlineStr">
        <is>
          <t>Request a standing notification when JCRT or equivalent 16–24 cohorts open</t>
        </is>
      </c>
      <c r="D24" s="213" t="inlineStr">
        <is>
          <t>Age/residency criteria, application dates, attendance and completion follow-up</t>
        </is>
      </c>
      <c r="E24" s="213" t="inlineStr">
        <is>
          <t>High</t>
        </is>
      </c>
      <c r="F24" s="213" t="inlineStr">
        <is>
          <t>Not started</t>
        </is>
      </c>
      <c r="G24" s="213" t="str"/>
      <c r="H24" s="213" t="str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</row>
    <row r="25" ht="66" customHeight="1" s="188">
      <c r="A25" s="213" t="inlineStr">
        <is>
          <t>Community Culinary School of Charlotte</t>
        </is>
      </c>
      <c r="B25" s="213" t="inlineStr">
        <is>
          <t>Combines employable skills, mentoring, life skills and placement in one structured pathway</t>
        </is>
      </c>
      <c r="C25" s="213" t="inlineStr">
        <is>
          <t>Learn admissions criteria, cohort dates and scholarship/funding process</t>
        </is>
      </c>
      <c r="D25" s="213" t="inlineStr">
        <is>
          <t>Application, interview, schedule, transportation, attendance and placement follow-up</t>
        </is>
      </c>
      <c r="E25" s="213" t="inlineStr">
        <is>
          <t>Medium</t>
        </is>
      </c>
      <c r="F25" s="213" t="inlineStr">
        <is>
          <t>Not started</t>
        </is>
      </c>
      <c r="G25" s="213" t="str"/>
      <c r="H25" s="213" t="str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</row>
    <row r="26" ht="66" customHeight="1" s="188">
      <c r="A26" s="213" t="inlineStr">
        <is>
          <t>Per Scholas North Carolina</t>
        </is>
      </c>
      <c r="B26" s="213" t="inlineStr">
        <is>
          <t>No-cost technical training includes professional development and learner support</t>
        </is>
      </c>
      <c r="C26" s="213" t="inlineStr">
        <is>
          <t>Identify a recruitment contact and realistic readiness screen for directory referrals</t>
        </is>
      </c>
      <c r="D26" s="213" t="inlineStr">
        <is>
          <t>Course prerequisites, deadline, intensity, technology needs and support plan</t>
        </is>
      </c>
      <c r="E26" s="213" t="inlineStr">
        <is>
          <t>Medium</t>
        </is>
      </c>
      <c r="F26" s="213" t="inlineStr">
        <is>
          <t>Not started</t>
        </is>
      </c>
      <c r="G26" s="213" t="str"/>
      <c r="H26" s="213" t="str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</row>
    <row r="27" ht="66" customHeight="1" s="188">
      <c r="A27" s="213" t="inlineStr">
        <is>
          <t>Common Heart</t>
        </is>
      </c>
      <c r="B27" s="213" t="inlineStr">
        <is>
          <t>Union County food access plus economic-empowerment and success-coaching programs</t>
        </is>
      </c>
      <c r="C27" s="213" t="inlineStr">
        <is>
          <t>Create a warm handoff for Union County young adults needing both crisis and growth support</t>
        </is>
      </c>
      <c r="D27" s="213" t="inlineStr">
        <is>
          <t>Residency, pantry access, class enrollment and coach communication</t>
        </is>
      </c>
      <c r="E27" s="213" t="inlineStr">
        <is>
          <t>Medium</t>
        </is>
      </c>
      <c r="F27" s="213" t="inlineStr">
        <is>
          <t>Not started</t>
        </is>
      </c>
      <c r="G27" s="213" t="str"/>
      <c r="H27" s="213" t="str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</row>
    <row r="28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</row>
    <row r="29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</row>
    <row r="30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</row>
    <row r="3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</row>
    <row r="32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</row>
    <row r="33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</row>
    <row r="34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</row>
    <row r="35">
      <c r="A35" s="52" t="n"/>
      <c r="B35" s="52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</row>
    <row r="36">
      <c r="A36" s="52" t="n"/>
      <c r="B36" s="52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</row>
    <row r="37">
      <c r="A37" s="52" t="n"/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</row>
    <row r="38">
      <c r="A38" s="52" t="n"/>
      <c r="B38" s="52" t="n"/>
      <c r="C38" s="52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</row>
    <row r="39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</row>
    <row r="40">
      <c r="A40" s="52" t="n"/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</row>
    <row r="41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</row>
    <row r="42">
      <c r="A42" s="52" t="n"/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</row>
    <row r="43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</row>
    <row r="44">
      <c r="A44" s="52" t="n"/>
      <c r="B44" s="52" t="n"/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</row>
    <row r="45">
      <c r="A45" s="52" t="n"/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</row>
    <row r="46">
      <c r="A46" s="52" t="n"/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</row>
    <row r="47">
      <c r="A47" s="52" t="n"/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</row>
    <row r="48">
      <c r="A48" s="52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</row>
    <row r="49">
      <c r="A49" s="52" t="n"/>
      <c r="B49" s="52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</row>
    <row r="50">
      <c r="A50" s="52" t="n"/>
      <c r="B50" s="52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</row>
    <row r="51">
      <c r="A51" s="52" t="n"/>
      <c r="B51" s="52" t="n"/>
      <c r="C51" s="52" t="n"/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</row>
    <row r="52">
      <c r="A52" s="52" t="n"/>
      <c r="B52" s="52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</row>
    <row r="53">
      <c r="A53" s="52" t="n"/>
      <c r="B53" s="52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52" t="n"/>
      <c r="Z53" s="52" t="n"/>
    </row>
    <row r="54">
      <c r="A54" s="52" t="n"/>
      <c r="B54" s="52" t="n"/>
      <c r="C54" s="52" t="n"/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52" t="n"/>
      <c r="Z54" s="52" t="n"/>
    </row>
    <row r="55">
      <c r="A55" s="52" t="n"/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52" t="n"/>
      <c r="Z55" s="52" t="n"/>
    </row>
    <row r="56">
      <c r="A56" s="52" t="n"/>
      <c r="B56" s="52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52" t="n"/>
      <c r="Z56" s="52" t="n"/>
    </row>
    <row r="57">
      <c r="A57" s="52" t="n"/>
      <c r="B57" s="52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</row>
    <row r="58">
      <c r="A58" s="52" t="n"/>
      <c r="B58" s="52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52" t="n"/>
      <c r="Z58" s="52" t="n"/>
    </row>
    <row r="59">
      <c r="A59" s="52" t="n"/>
      <c r="B59" s="52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</row>
    <row r="60">
      <c r="A60" s="52" t="n"/>
      <c r="B60" s="52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</row>
    <row r="61">
      <c r="A61" s="52" t="n"/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</row>
    <row r="62">
      <c r="A62" s="52" t="n"/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52" t="n"/>
      <c r="Z62" s="52" t="n"/>
    </row>
    <row r="63">
      <c r="A63" s="52" t="n"/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</row>
    <row r="64">
      <c r="A64" s="52" t="n"/>
      <c r="B64" s="52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</row>
    <row r="65">
      <c r="A65" s="52" t="n"/>
      <c r="B65" s="52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</row>
    <row r="66">
      <c r="A66" s="52" t="n"/>
      <c r="B66" s="52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</row>
    <row r="67">
      <c r="A67" s="52" t="n"/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</row>
    <row r="68">
      <c r="A68" s="52" t="n"/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</row>
    <row r="69">
      <c r="A69" s="52" t="n"/>
      <c r="B69" s="52" t="n"/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</row>
    <row r="70">
      <c r="A70" s="52" t="n"/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</row>
    <row r="71">
      <c r="A71" s="52" t="n"/>
      <c r="B71" s="52" t="n"/>
      <c r="C71" s="52" t="n"/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</row>
    <row r="72">
      <c r="A72" s="52" t="n"/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</row>
    <row r="73">
      <c r="A73" s="52" t="n"/>
      <c r="B73" s="52" t="n"/>
      <c r="C73" s="52" t="n"/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</row>
    <row r="74">
      <c r="A74" s="52" t="n"/>
      <c r="B74" s="52" t="n"/>
      <c r="C74" s="52" t="n"/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</row>
    <row r="75">
      <c r="A75" s="52" t="n"/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</row>
    <row r="76">
      <c r="A76" s="52" t="n"/>
      <c r="B76" s="52" t="n"/>
      <c r="C76" s="52" t="n"/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</row>
    <row r="77">
      <c r="A77" s="52" t="n"/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52" t="n"/>
      <c r="Z77" s="52" t="n"/>
    </row>
    <row r="78">
      <c r="A78" s="52" t="n"/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</row>
    <row r="79">
      <c r="A79" s="52" t="n"/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</row>
    <row r="80">
      <c r="A80" s="52" t="n"/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</row>
    <row r="81">
      <c r="A81" s="52" t="n"/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</row>
    <row r="82">
      <c r="A82" s="52" t="n"/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</row>
    <row r="83">
      <c r="A83" s="52" t="n"/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</row>
    <row r="84">
      <c r="A84" s="52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</row>
    <row r="85">
      <c r="A85" s="52" t="n"/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</row>
    <row r="86">
      <c r="A86" s="52" t="n"/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</row>
    <row r="87">
      <c r="A87" s="52" t="n"/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</row>
    <row r="88">
      <c r="A88" s="52" t="n"/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</row>
    <row r="89">
      <c r="A89" s="52" t="n"/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</row>
    <row r="90">
      <c r="A90" s="52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</row>
    <row r="91">
      <c r="A91" s="52" t="n"/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</row>
    <row r="92">
      <c r="A92" s="52" t="n"/>
      <c r="B92" s="52" t="n"/>
      <c r="C92" s="52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</row>
    <row r="93">
      <c r="A93" s="52" t="n"/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</row>
    <row r="94">
      <c r="A94" s="52" t="n"/>
      <c r="B94" s="52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</row>
    <row r="95">
      <c r="A95" s="52" t="n"/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</row>
    <row r="96">
      <c r="A96" s="52" t="n"/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</row>
    <row r="97">
      <c r="A97" s="52" t="n"/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</row>
    <row r="98">
      <c r="A98" s="52" t="n"/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</row>
    <row r="99">
      <c r="A99" s="52" t="n"/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</row>
    <row r="100">
      <c r="A100" s="52" t="n"/>
      <c r="B100" s="52" t="n"/>
      <c r="C100" s="52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</row>
    <row r="101">
      <c r="A101" s="52" t="n"/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</row>
    <row r="102">
      <c r="A102" s="52" t="n"/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</row>
    <row r="103">
      <c r="A103" s="52" t="n"/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</row>
    <row r="104">
      <c r="A104" s="52" t="n"/>
      <c r="B104" s="52" t="n"/>
      <c r="C104" s="52" t="n"/>
      <c r="D104" s="52" t="n"/>
      <c r="E104" s="52" t="n"/>
      <c r="F104" s="52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</row>
    <row r="105">
      <c r="A105" s="52" t="n"/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</row>
    <row r="106">
      <c r="A106" s="52" t="n"/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</row>
    <row r="107">
      <c r="A107" s="52" t="n"/>
      <c r="B107" s="52" t="n"/>
      <c r="C107" s="52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</row>
    <row r="108">
      <c r="A108" s="52" t="n"/>
      <c r="B108" s="52" t="n"/>
      <c r="C108" s="52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</row>
    <row r="109">
      <c r="A109" s="52" t="n"/>
      <c r="B109" s="52" t="n"/>
      <c r="C109" s="52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</row>
    <row r="110">
      <c r="A110" s="52" t="n"/>
      <c r="B110" s="52" t="n"/>
      <c r="C110" s="52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</row>
    <row r="111">
      <c r="A111" s="52" t="n"/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</row>
    <row r="112">
      <c r="A112" s="52" t="n"/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</row>
    <row r="113">
      <c r="A113" s="52" t="n"/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</row>
    <row r="114">
      <c r="A114" s="52" t="n"/>
      <c r="B114" s="52" t="n"/>
      <c r="C114" s="52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</row>
    <row r="115">
      <c r="A115" s="52" t="n"/>
      <c r="B115" s="52" t="n"/>
      <c r="C115" s="52" t="n"/>
      <c r="D115" s="52" t="n"/>
      <c r="E115" s="52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</row>
    <row r="116">
      <c r="A116" s="52" t="n"/>
      <c r="B116" s="52" t="n"/>
      <c r="C116" s="52" t="n"/>
      <c r="D116" s="52" t="n"/>
      <c r="E116" s="52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</row>
    <row r="117">
      <c r="A117" s="52" t="n"/>
      <c r="B117" s="52" t="n"/>
      <c r="C117" s="52" t="n"/>
      <c r="D117" s="52" t="n"/>
      <c r="E117" s="52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</row>
    <row r="118">
      <c r="A118" s="52" t="n"/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</row>
    <row r="119">
      <c r="A119" s="52" t="n"/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</row>
    <row r="120">
      <c r="A120" s="52" t="n"/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</row>
    <row r="121">
      <c r="A121" s="52" t="n"/>
      <c r="B121" s="52" t="n"/>
      <c r="C121" s="52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</row>
    <row r="122">
      <c r="A122" s="52" t="n"/>
      <c r="B122" s="52" t="n"/>
      <c r="C122" s="52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</row>
    <row r="123">
      <c r="A123" s="52" t="n"/>
      <c r="B123" s="52" t="n"/>
      <c r="C123" s="52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</row>
    <row r="124">
      <c r="A124" s="52" t="n"/>
      <c r="B124" s="52" t="n"/>
      <c r="C124" s="52" t="n"/>
      <c r="D124" s="52" t="n"/>
      <c r="E124" s="52" t="n"/>
      <c r="F124" s="52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</row>
    <row r="125">
      <c r="A125" s="52" t="n"/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</row>
    <row r="126">
      <c r="A126" s="52" t="n"/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</row>
    <row r="127">
      <c r="A127" s="52" t="n"/>
      <c r="B127" s="52" t="n"/>
      <c r="C127" s="52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</row>
    <row r="128">
      <c r="A128" s="52" t="n"/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</row>
    <row r="129">
      <c r="A129" s="52" t="n"/>
      <c r="B129" s="52" t="n"/>
      <c r="C129" s="52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</row>
    <row r="130">
      <c r="A130" s="52" t="n"/>
      <c r="B130" s="52" t="n"/>
      <c r="C130" s="52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  <c r="Z130" s="52" t="n"/>
    </row>
    <row r="131">
      <c r="A131" s="52" t="n"/>
      <c r="B131" s="52" t="n"/>
      <c r="C131" s="52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  <c r="Z131" s="52" t="n"/>
    </row>
    <row r="132">
      <c r="A132" s="52" t="n"/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</row>
    <row r="133">
      <c r="A133" s="52" t="n"/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  <c r="Z133" s="52" t="n"/>
    </row>
    <row r="134">
      <c r="A134" s="52" t="n"/>
      <c r="B134" s="52" t="n"/>
      <c r="C134" s="52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  <c r="Z134" s="52" t="n"/>
    </row>
    <row r="135">
      <c r="A135" s="52" t="n"/>
      <c r="B135" s="52" t="n"/>
      <c r="C135" s="52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  <c r="Z135" s="52" t="n"/>
    </row>
    <row r="136">
      <c r="A136" s="52" t="n"/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  <c r="Z136" s="52" t="n"/>
    </row>
    <row r="137">
      <c r="A137" s="52" t="n"/>
      <c r="B137" s="52" t="n"/>
      <c r="C137" s="52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  <c r="Z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  <c r="Z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  <c r="Z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  <c r="Z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  <c r="Z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  <c r="Z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  <c r="Z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  <c r="Z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  <c r="Z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  <c r="Z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  <c r="Z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  <c r="Z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  <c r="Z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  <c r="Z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  <c r="Z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  <c r="Z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  <c r="Z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  <c r="Z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  <c r="Z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  <c r="Z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  <c r="Z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  <c r="Z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  <c r="Z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  <c r="X176" s="52" t="n"/>
      <c r="Y176" s="52" t="n"/>
      <c r="Z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  <c r="Z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  <c r="Y178" s="52" t="n"/>
      <c r="Z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  <c r="Y179" s="52" t="n"/>
      <c r="Z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  <c r="Z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  <c r="X182" s="52" t="n"/>
      <c r="Y182" s="52" t="n"/>
      <c r="Z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  <c r="Z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  <c r="Y184" s="52" t="n"/>
      <c r="Z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  <c r="Y185" s="52" t="n"/>
      <c r="Z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  <c r="Z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  <c r="X188" s="52" t="n"/>
      <c r="Y188" s="52" t="n"/>
      <c r="Z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  <c r="Z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  <c r="X194" s="52" t="n"/>
      <c r="Y194" s="52" t="n"/>
      <c r="Z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  <c r="Z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  <c r="Y196" s="52" t="n"/>
      <c r="Z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  <c r="Y197" s="52" t="n"/>
      <c r="Z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  <c r="Z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  <c r="X200" s="52" t="n"/>
      <c r="Y200" s="52" t="n"/>
      <c r="Z200" s="52" t="n"/>
    </row>
  </sheetData>
  <mergeCells count="2">
    <mergeCell ref="A1:H2"/>
    <mergeCell ref="A3:H4"/>
  </mergeCells>
  <conditionalFormatting sqref="E7:E22">
    <cfRule type="expression" priority="1" dxfId="0">
      <formula>E7="High"</formula>
    </cfRule>
  </conditionalFormatting>
  <conditionalFormatting sqref="F7:F22">
    <cfRule type="expression" priority="2" dxfId="1">
      <formula>F7="Referral pathway confirmed"</formula>
    </cfRule>
  </conditionalFormatting>
  <conditionalFormatting sqref="E7:E27">
    <cfRule type="expression" priority="3" dxfId="0">
      <formula>E7="High"</formula>
    </cfRule>
  </conditionalFormatting>
  <conditionalFormatting sqref="F7:F27">
    <cfRule type="expression" priority="4" dxfId="1">
      <formula>F7="Referral pathway confirmed"</formula>
    </cfRule>
  </conditionalFormatting>
  <dataValidations count="4">
    <dataValidation sqref="E7:E22" showDropDown="0" showInputMessage="0" showErrorMessage="0" allowBlank="0" type="list">
      <formula1>"High,Medium,Low"</formula1>
    </dataValidation>
    <dataValidation sqref="F7:F22" showDropDown="0" showInputMessage="0" showErrorMessage="0" allowBlank="0" type="list">
      <formula1>"Not started,Outreach sent,Meeting scheduled,Referral pathway confirmed,Paused"</formula1>
    </dataValidation>
    <dataValidation sqref="E7:E27" showDropDown="0" showInputMessage="0" showErrorMessage="0" allowBlank="0" type="list">
      <formula1>"High,Medium,Low"</formula1>
    </dataValidation>
    <dataValidation sqref="F7:F27" showDropDown="0" showInputMessage="0" showErrorMessage="0" allowBlank="0" type="list">
      <formula1>"Not started,Outreach sent,Meeting scheduled,Referral pathway confirmed,Paused"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9" customWidth="1" style="188" min="1" max="1"/>
    <col width="70" customWidth="1" style="188" min="2" max="2"/>
    <col width="43" customWidth="1" style="188" min="3" max="3"/>
    <col width="43" customWidth="1" style="188" min="4" max="4"/>
    <col width="29" customWidth="1" style="188" min="5" max="5"/>
    <col width="50" customWidth="1" style="188" min="6" max="6"/>
  </cols>
  <sheetData>
    <row r="1">
      <c r="A1" s="329" t="inlineStr">
        <is>
          <t>Research method, limits and update rules</t>
        </is>
      </c>
      <c r="B1" s="323" t="n"/>
      <c r="C1" s="323" t="n"/>
      <c r="D1" s="323" t="n"/>
      <c r="E1" s="323" t="n"/>
      <c r="F1" s="323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</row>
    <row r="2">
      <c r="A2" s="323" t="n"/>
      <c r="B2" s="323" t="n"/>
      <c r="C2" s="323" t="n"/>
      <c r="D2" s="323" t="n"/>
      <c r="E2" s="323" t="n"/>
      <c r="F2" s="323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52" t="n"/>
      <c r="Z2" s="52" t="n"/>
    </row>
    <row r="3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2" t="n"/>
      <c r="Y3" s="52" t="n"/>
      <c r="Z3" s="52" t="n"/>
    </row>
    <row r="4">
      <c r="A4" s="21" t="inlineStr">
        <is>
          <t>Topic</t>
        </is>
      </c>
      <c r="B4" s="21" t="inlineStr">
        <is>
          <t>Working standard</t>
        </is>
      </c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</row>
    <row r="5" ht="52" customHeight="1" s="188">
      <c r="A5" s="184" t="inlineStr">
        <is>
          <t>Scope</t>
        </is>
      </c>
      <c r="B5" s="184" t="inlineStr">
        <is>
          <t>Charlotte and Mecklenburg County resources were prioritized, followed by North Carolina and national programs that are realistically accessible to a Charlotte resident. The directory includes both foster-specific programs and generic resources relevant to housing, food, employment, health, transportation, legal issues, parenting and safety.</t>
        </is>
      </c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2" t="n"/>
    </row>
    <row r="6" ht="52" customHeight="1" s="188">
      <c r="A6" s="184" t="inlineStr">
        <is>
          <t>Reputation standard</t>
        </is>
      </c>
      <c r="B6" s="184" t="inlineStr">
        <is>
          <t>Included organizations are government agencies, public institutions, established health systems or established nonprofit providers with a current service page. Informal mutual aid, personal fundraising and organizations without a clear intake/service process were excluded.</t>
        </is>
      </c>
      <c r="C6" s="52" t="n"/>
      <c r="D6" s="52" t="n"/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52" t="n"/>
      <c r="X6" s="52" t="n"/>
      <c r="Y6" s="52" t="n"/>
      <c r="Z6" s="52" t="n"/>
    </row>
    <row r="7" ht="52" customHeight="1" s="188">
      <c r="A7" s="184" t="inlineStr">
        <is>
          <t>Source standard</t>
        </is>
      </c>
      <c r="B7" s="184" t="inlineStr">
        <is>
          <t>Primary official program pages were used whenever possible. Every Resource Directory row includes the official source URL and the date checked.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</row>
    <row r="8" ht="52" customHeight="1" s="188">
      <c r="A8" s="184" t="inlineStr">
        <is>
          <t>Meaning of “Core”</t>
        </is>
      </c>
      <c r="B8" s="184" t="inlineStr">
        <is>
          <t>A resource that the program should understand well and use frequently because it addresses a common need or acts as a required gateway.</t>
        </is>
      </c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2" t="n"/>
    </row>
    <row r="9" ht="52" customHeight="1" s="188">
      <c r="A9" s="184" t="inlineStr">
        <is>
          <t>Meaning of “Specialized”</t>
        </is>
      </c>
      <c r="B9" s="184" t="inlineStr">
        <is>
          <t>A reputable resource for a narrower population or need, such as parenting, disability, LGBTQ+ support, domestic violence, trafficking or justice involvement.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</row>
    <row r="10" ht="52" customHeight="1" s="188">
      <c r="A10" s="184" t="inlineStr">
        <is>
          <t>Meaning of “Verify”</t>
        </is>
      </c>
      <c r="B10" s="184" t="inlineStr">
        <is>
          <t>The program exists, but current Charlotte intake, funding or local implementation could not be confirmed. Do not present it as available until a provider confirms.</t>
        </is>
      </c>
      <c r="C10" s="52" t="n"/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52" t="n"/>
      <c r="Z10" s="52" t="n"/>
    </row>
    <row r="11" ht="52" customHeight="1" s="188">
      <c r="A11" s="184" t="inlineStr">
        <is>
          <t>Known volatile items</t>
        </is>
      </c>
      <c r="B11" s="184" t="inlineStr">
        <is>
          <t>Housing waitlists, shelter beds, emergency-assistance funding, workforce cohorts, treatment beds, pilot programs and foster-care benefits can change quickly. Recheck before every referral.</t>
        </is>
      </c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52" t="n"/>
      <c r="Z11" s="52" t="n"/>
    </row>
    <row r="12" ht="52" customHeight="1" s="188">
      <c r="A12" s="184" t="inlineStr">
        <is>
          <t>Recommended review cadence</t>
        </is>
      </c>
      <c r="B12" s="184" t="inlineStr">
        <is>
          <t>Review Core resources quarterly; verify phone numbers and intake links whenever a referral fails; conduct a full directory audit at least annually.</t>
        </is>
      </c>
      <c r="C12" s="52" t="n"/>
      <c r="D12" s="52" t="n"/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2" t="n"/>
      <c r="Z12" s="52" t="n"/>
    </row>
    <row r="13" ht="52" customHeight="1" s="188">
      <c r="A13" s="184" t="inlineStr">
        <is>
          <t>Referral documentation</t>
        </is>
      </c>
      <c r="B13" s="184" t="inlineStr">
        <is>
          <t>Track date, consent, provider/staff name, application or case number, documents requested, next step, deadline, expected callback and final outcome.</t>
        </is>
      </c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52" t="n"/>
      <c r="Z13" s="52" t="n"/>
    </row>
    <row r="14" ht="52" customHeight="1" s="188">
      <c r="A14" s="184" t="inlineStr">
        <is>
          <t>Privacy rule</t>
        </is>
      </c>
      <c r="B14" s="184" t="inlineStr">
        <is>
          <t>Share only the minimum necessary information and obtain the young adult's informed consent unless an emergency or legal obligation requires otherwise.</t>
        </is>
      </c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</row>
    <row r="15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</row>
    <row r="17">
      <c r="A17" s="330" t="inlineStr">
        <is>
          <t>Programs to investigate, not promise</t>
        </is>
      </c>
      <c r="B17" s="323" t="n"/>
      <c r="C17" s="323" t="n"/>
      <c r="D17" s="323" t="n"/>
      <c r="E17" s="323" t="n"/>
      <c r="F17" s="323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</row>
    <row r="18">
      <c r="A18" s="21" t="inlineStr">
        <is>
          <t>Lead</t>
        </is>
      </c>
      <c r="B18" s="21" t="inlineStr">
        <is>
          <t>Why it matters</t>
        </is>
      </c>
      <c r="C18" s="21" t="inlineStr">
        <is>
          <t>What was verified</t>
        </is>
      </c>
      <c r="D18" s="21" t="inlineStr">
        <is>
          <t>What remains unknown</t>
        </is>
      </c>
      <c r="E18" s="21" t="inlineStr">
        <is>
          <t>Who should confirm</t>
        </is>
      </c>
      <c r="F18" s="21" t="inlineStr">
        <is>
          <t>Source</t>
        </is>
      </c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</row>
    <row r="19" ht="64" customHeight="1" s="188">
      <c r="A19" s="184" t="inlineStr">
        <is>
          <t>Mecklenburg GEAR Up pilot</t>
        </is>
      </c>
      <c r="B19" s="184" t="inlineStr">
        <is>
          <t>Flexible cash can prevent instability during aging out.</t>
        </is>
      </c>
      <c r="C19" s="184" t="inlineStr">
        <is>
          <t>County announced the pilot for ages 18–21.</t>
        </is>
      </c>
      <c r="D19" s="184" t="inlineStr">
        <is>
          <t>Whether new referrals or funding remain open in August 2026.</t>
        </is>
      </c>
      <c r="E19" s="184" t="inlineStr">
        <is>
          <t>Mecklenburg LINKS</t>
        </is>
      </c>
      <c r="F19" s="184" t="inlineStr">
        <is>
          <t>https://news.mecknc.gov/gear-supplemental-income-pilot-program-young-adults-aging-out-foster-care</t>
        </is>
      </c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</row>
    <row r="20" ht="64" customHeight="1" s="188">
      <c r="A20" s="184" t="inlineStr">
        <is>
          <t>HUD FYI vouchers</t>
        </is>
      </c>
      <c r="B20" s="184" t="inlineStr">
        <is>
          <t>Could provide a foster-specific housing voucher.</t>
        </is>
      </c>
      <c r="C20" s="184" t="inlineStr">
        <is>
          <t>Federal FYI program is active.</t>
        </is>
      </c>
      <c r="D20" s="184" t="inlineStr">
        <is>
          <t>Whether Mecklenburg LINKS and INLIVIAN currently have an active referral allocation/pathway.</t>
        </is>
      </c>
      <c r="E20" s="184" t="inlineStr">
        <is>
          <t>LINKS + INLIVIAN</t>
        </is>
      </c>
      <c r="F20" s="184" t="inlineStr">
        <is>
          <t>https://www.hud.gov/hud-partners/public-indian-housing-fyi</t>
        </is>
      </c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</row>
    <row r="21" ht="64" customHeight="1" s="188">
      <c r="A21" s="184" t="inlineStr">
        <is>
          <t>THAP-IN</t>
        </is>
      </c>
      <c r="B21" s="184" t="inlineStr">
        <is>
          <t>Flexible cash may prevent youth homelessness.</t>
        </is>
      </c>
      <c r="C21" s="184" t="inlineStr">
        <is>
          <t>A Mecklenburg pilot has been documented.</t>
        </is>
      </c>
      <c r="D21" s="184" t="inlineStr">
        <is>
          <t>Current enrollment, funding and referral partner.</t>
        </is>
      </c>
      <c r="E21" s="184" t="inlineStr">
        <is>
          <t>The Relatives / Coordinated Entry</t>
        </is>
      </c>
      <c r="F21" s="184" t="inlineStr">
        <is>
          <t>https://www.pointsourceyouth.org/mecklenburg-targeted-housing-assistance-program</t>
        </is>
      </c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</row>
    <row r="22" ht="64" customHeight="1" s="188">
      <c r="A22" s="184" t="inlineStr">
        <is>
          <t>Opportunity Passport</t>
        </is>
      </c>
      <c r="B22" s="184" t="inlineStr">
        <is>
          <t>Matched savings and asset-building can support independence.</t>
        </is>
      </c>
      <c r="C22" s="184" t="inlineStr">
        <is>
          <t>National Annie E. Casey model exists.</t>
        </is>
      </c>
      <c r="D22" s="184" t="inlineStr">
        <is>
          <t>No current Charlotte/Mecklenburg implementation was verified.</t>
        </is>
      </c>
      <c r="E22" s="184" t="inlineStr">
        <is>
          <t>LINKS / SaySo / NC child welfare</t>
        </is>
      </c>
      <c r="F22" s="184" t="inlineStr">
        <is>
          <t>https://www.aecf.org/work/child-welfare/jim-casey-youth-opportunities-initiative</t>
        </is>
      </c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</row>
    <row r="23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</row>
    <row r="24">
      <c r="A24" s="331" t="inlineStr">
        <is>
          <t>Coverage warning: no directory can literally contain every program. Small funds open and close, provider contracts change and churches often help only through relationship-based requests. This workbook is designed to be a reliable operating baseline, not a static promise.</t>
        </is>
      </c>
      <c r="B24" s="323" t="n"/>
      <c r="C24" s="323" t="n"/>
      <c r="D24" s="323" t="n"/>
      <c r="E24" s="323" t="n"/>
      <c r="F24" s="323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</row>
    <row r="25">
      <c r="A25" s="323" t="n"/>
      <c r="B25" s="323" t="n"/>
      <c r="C25" s="323" t="n"/>
      <c r="D25" s="323" t="n"/>
      <c r="E25" s="323" t="n"/>
      <c r="F25" s="323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</row>
    <row r="26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</row>
    <row r="27">
      <c r="A27" s="325" t="inlineStr">
        <is>
          <t>30-mile expansion methodology</t>
        </is>
      </c>
      <c r="B27" s="323" t="n"/>
      <c r="C27" s="323" t="n"/>
      <c r="D27" s="323" t="n"/>
      <c r="E27" s="323" t="n"/>
      <c r="F27" s="323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</row>
    <row r="28" ht="50" customHeight="1" s="188">
      <c r="A28" s="260" t="inlineStr">
        <is>
          <t>Radius definition</t>
        </is>
      </c>
      <c r="B28" s="213" t="inlineStr">
        <is>
          <t>Roughly 30 road miles from Uptown Charlotte, applied as a practical service-area screen rather than exact geocoding.</t>
        </is>
      </c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</row>
    <row r="29" ht="50" customHeight="1" s="188">
      <c r="A29" s="260" t="inlineStr">
        <is>
          <t>Communities represented</t>
        </is>
      </c>
      <c r="B29" s="213" t="inlineStr">
        <is>
          <t>Charlotte/Mecklenburg plus nearby Matthews, Indian Trail, Monroe, Concord, Huntersville, Davidson, Gastonia, Belmont and Rock Hill resources where relevant.</t>
        </is>
      </c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</row>
    <row r="30" ht="50" customHeight="1" s="188">
      <c r="A30" s="260" t="inlineStr">
        <is>
          <t>Mentorship search</t>
        </is>
      </c>
      <c r="B30" s="213" t="inlineStr">
        <is>
          <t>Included direct mentoring, coaching, leadership, peer/community support and long-term relational-development programs.</t>
        </is>
      </c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</row>
    <row r="31" ht="50" customHeight="1" s="188">
      <c r="A31" s="260" t="inlineStr">
        <is>
          <t>Soft-skills search</t>
        </is>
      </c>
      <c r="B31" s="213" t="inlineStr">
        <is>
          <t>Included communication, workplace readiness, emotional intelligence, leadership, financial capability, independent living, confidence and professional-development services.</t>
        </is>
      </c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</row>
    <row r="32" ht="50" customHeight="1" s="188">
      <c r="A32" s="260" t="inlineStr">
        <is>
          <t>Youth-only programs</t>
        </is>
      </c>
      <c r="B32" s="213" t="inlineStr">
        <is>
          <t>Included only when they can help an 18-year-old, an existing alumnus/college fellow, or transition planning before aging out. Caveats state when a new 18–24-year-old cannot enter.</t>
        </is>
      </c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</row>
    <row r="33" ht="50" customHeight="1" s="188">
      <c r="A33" s="260" t="inlineStr">
        <is>
          <t>Eligibility warning</t>
        </is>
      </c>
      <c r="B33" s="213" t="inlineStr">
        <is>
          <t>Nearby geography does not override county, ZIP-code, income, household, disability, gender, school-enrollment or program-stage rules.</t>
        </is>
      </c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</row>
    <row r="34" ht="50" customHeight="1" s="188">
      <c r="A34" s="260" t="inlineStr">
        <is>
          <t>Maintenance rule</t>
        </is>
      </c>
      <c r="B34" s="213" t="inlineStr">
        <is>
          <t>Recheck cohorts, waitlists, housing availability and intake status before every referral; review the full directory quarterly.</t>
        </is>
      </c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</row>
    <row r="35">
      <c r="A35" s="52" t="n"/>
      <c r="B35" s="52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</row>
    <row r="36">
      <c r="A36" s="295" t="inlineStr">
        <is>
          <t>Data-model update</t>
        </is>
      </c>
      <c r="B36" s="295" t="inlineStr">
        <is>
          <t>Working standard</t>
        </is>
      </c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</row>
    <row r="37" ht="46" customHeight="1" s="188">
      <c r="A37" s="296" t="inlineStr">
        <is>
          <t>Unified classification</t>
        </is>
      </c>
      <c r="B37" s="296" t="inlineStr">
        <is>
          <t>Support areas replaces Primary category and Support focus tags. Multiple values are stored in one semicolon-separated cell.</t>
        </is>
      </c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</row>
    <row r="38" ht="46" customHeight="1" s="188">
      <c r="A38" s="296" t="inlineStr">
        <is>
          <t>App behavior</t>
        </is>
      </c>
      <c r="B38" s="296" t="inlineStr">
        <is>
          <t>The web app uses one Support area filter and searches the same consolidated field.</t>
        </is>
      </c>
      <c r="C38" s="52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</row>
    <row r="39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</row>
    <row r="40">
      <c r="A40" s="52" t="n"/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</row>
    <row r="41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</row>
    <row r="42">
      <c r="A42" s="52" t="n"/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</row>
    <row r="43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</row>
    <row r="44">
      <c r="A44" s="52" t="n"/>
      <c r="B44" s="52" t="n"/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</row>
    <row r="45">
      <c r="A45" s="52" t="n"/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</row>
    <row r="46">
      <c r="A46" s="52" t="n"/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</row>
    <row r="47">
      <c r="A47" s="52" t="n"/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</row>
    <row r="48">
      <c r="A48" s="52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</row>
    <row r="49">
      <c r="A49" s="52" t="n"/>
      <c r="B49" s="52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</row>
    <row r="50">
      <c r="A50" s="52" t="n"/>
      <c r="B50" s="52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</row>
    <row r="51">
      <c r="A51" s="52" t="n"/>
      <c r="B51" s="52" t="n"/>
      <c r="C51" s="52" t="n"/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</row>
    <row r="52">
      <c r="A52" s="52" t="n"/>
      <c r="B52" s="52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</row>
    <row r="53">
      <c r="A53" s="52" t="n"/>
      <c r="B53" s="52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52" t="n"/>
      <c r="Z53" s="52" t="n"/>
    </row>
    <row r="54">
      <c r="A54" s="52" t="n"/>
      <c r="B54" s="52" t="n"/>
      <c r="C54" s="52" t="n"/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52" t="n"/>
      <c r="Z54" s="52" t="n"/>
    </row>
    <row r="55">
      <c r="A55" s="52" t="n"/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52" t="n"/>
      <c r="Z55" s="52" t="n"/>
    </row>
    <row r="56">
      <c r="A56" s="52" t="n"/>
      <c r="B56" s="52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52" t="n"/>
      <c r="Z56" s="52" t="n"/>
    </row>
    <row r="57">
      <c r="A57" s="52" t="n"/>
      <c r="B57" s="52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</row>
    <row r="58">
      <c r="A58" s="52" t="n"/>
      <c r="B58" s="52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52" t="n"/>
      <c r="Z58" s="52" t="n"/>
    </row>
    <row r="59">
      <c r="A59" s="52" t="n"/>
      <c r="B59" s="52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</row>
    <row r="60">
      <c r="A60" s="52" t="n"/>
      <c r="B60" s="52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</row>
    <row r="61">
      <c r="A61" s="52" t="n"/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</row>
    <row r="62">
      <c r="A62" s="52" t="n"/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52" t="n"/>
      <c r="Z62" s="52" t="n"/>
    </row>
    <row r="63">
      <c r="A63" s="52" t="n"/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</row>
    <row r="64">
      <c r="A64" s="52" t="n"/>
      <c r="B64" s="52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</row>
    <row r="65">
      <c r="A65" s="52" t="n"/>
      <c r="B65" s="52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</row>
    <row r="66">
      <c r="A66" s="52" t="n"/>
      <c r="B66" s="52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</row>
    <row r="67">
      <c r="A67" s="52" t="n"/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</row>
    <row r="68">
      <c r="A68" s="52" t="n"/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</row>
    <row r="69">
      <c r="A69" s="52" t="n"/>
      <c r="B69" s="52" t="n"/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</row>
    <row r="70">
      <c r="A70" s="52" t="n"/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</row>
    <row r="71">
      <c r="A71" s="52" t="n"/>
      <c r="B71" s="52" t="n"/>
      <c r="C71" s="52" t="n"/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</row>
    <row r="72">
      <c r="A72" s="52" t="n"/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</row>
    <row r="73">
      <c r="A73" s="52" t="n"/>
      <c r="B73" s="52" t="n"/>
      <c r="C73" s="52" t="n"/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</row>
    <row r="74">
      <c r="A74" s="52" t="n"/>
      <c r="B74" s="52" t="n"/>
      <c r="C74" s="52" t="n"/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</row>
    <row r="75">
      <c r="A75" s="52" t="n"/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</row>
    <row r="76">
      <c r="A76" s="52" t="n"/>
      <c r="B76" s="52" t="n"/>
      <c r="C76" s="52" t="n"/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</row>
    <row r="77">
      <c r="A77" s="52" t="n"/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52" t="n"/>
      <c r="Z77" s="52" t="n"/>
    </row>
    <row r="78">
      <c r="A78" s="52" t="n"/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</row>
    <row r="79">
      <c r="A79" s="52" t="n"/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</row>
    <row r="80">
      <c r="A80" s="52" t="n"/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</row>
    <row r="81">
      <c r="A81" s="52" t="n"/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</row>
    <row r="82">
      <c r="A82" s="52" t="n"/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</row>
    <row r="83">
      <c r="A83" s="52" t="n"/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</row>
    <row r="84">
      <c r="A84" s="52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</row>
    <row r="85">
      <c r="A85" s="52" t="n"/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</row>
    <row r="86">
      <c r="A86" s="52" t="n"/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</row>
    <row r="87">
      <c r="A87" s="52" t="n"/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</row>
    <row r="88">
      <c r="A88" s="52" t="n"/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</row>
    <row r="89">
      <c r="A89" s="52" t="n"/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</row>
    <row r="90">
      <c r="A90" s="52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</row>
    <row r="91">
      <c r="A91" s="52" t="n"/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</row>
    <row r="92">
      <c r="A92" s="52" t="n"/>
      <c r="B92" s="52" t="n"/>
      <c r="C92" s="52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</row>
    <row r="93">
      <c r="A93" s="52" t="n"/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</row>
    <row r="94">
      <c r="A94" s="52" t="n"/>
      <c r="B94" s="52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</row>
    <row r="95">
      <c r="A95" s="52" t="n"/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</row>
    <row r="96">
      <c r="A96" s="52" t="n"/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</row>
    <row r="97">
      <c r="A97" s="52" t="n"/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</row>
    <row r="98">
      <c r="A98" s="52" t="n"/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</row>
    <row r="99">
      <c r="A99" s="52" t="n"/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</row>
    <row r="100">
      <c r="A100" s="52" t="n"/>
      <c r="B100" s="52" t="n"/>
      <c r="C100" s="52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</row>
    <row r="101">
      <c r="A101" s="52" t="n"/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</row>
    <row r="102">
      <c r="A102" s="52" t="n"/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</row>
    <row r="103">
      <c r="A103" s="52" t="n"/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</row>
    <row r="104">
      <c r="A104" s="52" t="n"/>
      <c r="B104" s="52" t="n"/>
      <c r="C104" s="52" t="n"/>
      <c r="D104" s="52" t="n"/>
      <c r="E104" s="52" t="n"/>
      <c r="F104" s="52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</row>
    <row r="105">
      <c r="A105" s="52" t="n"/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</row>
    <row r="106">
      <c r="A106" s="52" t="n"/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</row>
    <row r="107">
      <c r="A107" s="52" t="n"/>
      <c r="B107" s="52" t="n"/>
      <c r="C107" s="52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</row>
    <row r="108">
      <c r="A108" s="52" t="n"/>
      <c r="B108" s="52" t="n"/>
      <c r="C108" s="52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</row>
    <row r="109">
      <c r="A109" s="52" t="n"/>
      <c r="B109" s="52" t="n"/>
      <c r="C109" s="52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</row>
    <row r="110">
      <c r="A110" s="52" t="n"/>
      <c r="B110" s="52" t="n"/>
      <c r="C110" s="52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</row>
    <row r="111">
      <c r="A111" s="52" t="n"/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</row>
    <row r="112">
      <c r="A112" s="52" t="n"/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</row>
    <row r="113">
      <c r="A113" s="52" t="n"/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</row>
    <row r="114">
      <c r="A114" s="52" t="n"/>
      <c r="B114" s="52" t="n"/>
      <c r="C114" s="52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</row>
    <row r="115">
      <c r="A115" s="52" t="n"/>
      <c r="B115" s="52" t="n"/>
      <c r="C115" s="52" t="n"/>
      <c r="D115" s="52" t="n"/>
      <c r="E115" s="52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</row>
    <row r="116">
      <c r="A116" s="52" t="n"/>
      <c r="B116" s="52" t="n"/>
      <c r="C116" s="52" t="n"/>
      <c r="D116" s="52" t="n"/>
      <c r="E116" s="52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</row>
    <row r="117">
      <c r="A117" s="52" t="n"/>
      <c r="B117" s="52" t="n"/>
      <c r="C117" s="52" t="n"/>
      <c r="D117" s="52" t="n"/>
      <c r="E117" s="52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</row>
    <row r="118">
      <c r="A118" s="52" t="n"/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</row>
    <row r="119">
      <c r="A119" s="52" t="n"/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</row>
    <row r="120">
      <c r="A120" s="52" t="n"/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</row>
    <row r="121">
      <c r="A121" s="52" t="n"/>
      <c r="B121" s="52" t="n"/>
      <c r="C121" s="52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</row>
    <row r="122">
      <c r="A122" s="52" t="n"/>
      <c r="B122" s="52" t="n"/>
      <c r="C122" s="52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</row>
    <row r="123">
      <c r="A123" s="52" t="n"/>
      <c r="B123" s="52" t="n"/>
      <c r="C123" s="52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</row>
    <row r="124">
      <c r="A124" s="52" t="n"/>
      <c r="B124" s="52" t="n"/>
      <c r="C124" s="52" t="n"/>
      <c r="D124" s="52" t="n"/>
      <c r="E124" s="52" t="n"/>
      <c r="F124" s="52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</row>
    <row r="125">
      <c r="A125" s="52" t="n"/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</row>
    <row r="126">
      <c r="A126" s="52" t="n"/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</row>
    <row r="127">
      <c r="A127" s="52" t="n"/>
      <c r="B127" s="52" t="n"/>
      <c r="C127" s="52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</row>
    <row r="128">
      <c r="A128" s="52" t="n"/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</row>
    <row r="129">
      <c r="A129" s="52" t="n"/>
      <c r="B129" s="52" t="n"/>
      <c r="C129" s="52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</row>
    <row r="130">
      <c r="A130" s="52" t="n"/>
      <c r="B130" s="52" t="n"/>
      <c r="C130" s="52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  <c r="Z130" s="52" t="n"/>
    </row>
    <row r="131">
      <c r="A131" s="52" t="n"/>
      <c r="B131" s="52" t="n"/>
      <c r="C131" s="52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  <c r="Z131" s="52" t="n"/>
    </row>
    <row r="132">
      <c r="A132" s="52" t="n"/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</row>
    <row r="133">
      <c r="A133" s="52" t="n"/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  <c r="Z133" s="52" t="n"/>
    </row>
    <row r="134">
      <c r="A134" s="52" t="n"/>
      <c r="B134" s="52" t="n"/>
      <c r="C134" s="52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  <c r="Z134" s="52" t="n"/>
    </row>
    <row r="135">
      <c r="A135" s="52" t="n"/>
      <c r="B135" s="52" t="n"/>
      <c r="C135" s="52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  <c r="Z135" s="52" t="n"/>
    </row>
    <row r="136">
      <c r="A136" s="52" t="n"/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  <c r="Z136" s="52" t="n"/>
    </row>
    <row r="137">
      <c r="A137" s="52" t="n"/>
      <c r="B137" s="52" t="n"/>
      <c r="C137" s="52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  <c r="Z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  <c r="Z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  <c r="Z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  <c r="Z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  <c r="Z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  <c r="Z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  <c r="Z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  <c r="Z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  <c r="Z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  <c r="Z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  <c r="Z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  <c r="Z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  <c r="Z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  <c r="Z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  <c r="Z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  <c r="Z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  <c r="Z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  <c r="Z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  <c r="Z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  <c r="Z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  <c r="Z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  <c r="Z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  <c r="Z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  <c r="X176" s="52" t="n"/>
      <c r="Y176" s="52" t="n"/>
      <c r="Z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  <c r="Z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  <c r="Y178" s="52" t="n"/>
      <c r="Z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  <c r="Y179" s="52" t="n"/>
      <c r="Z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  <c r="Z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  <c r="X182" s="52" t="n"/>
      <c r="Y182" s="52" t="n"/>
      <c r="Z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  <c r="Z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  <c r="Y184" s="52" t="n"/>
      <c r="Z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  <c r="Y185" s="52" t="n"/>
      <c r="Z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  <c r="Z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  <c r="X188" s="52" t="n"/>
      <c r="Y188" s="52" t="n"/>
      <c r="Z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  <c r="Z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  <c r="X194" s="52" t="n"/>
      <c r="Y194" s="52" t="n"/>
      <c r="Z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  <c r="Z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  <c r="Y196" s="52" t="n"/>
      <c r="Z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  <c r="Y197" s="52" t="n"/>
      <c r="Z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  <c r="Z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  <c r="X200" s="52" t="n"/>
      <c r="Y200" s="52" t="n"/>
      <c r="Z200" s="52" t="n"/>
    </row>
  </sheetData>
  <mergeCells count="4">
    <mergeCell ref="A1:F2"/>
    <mergeCell ref="A24:F25"/>
    <mergeCell ref="A17:F17"/>
    <mergeCell ref="A27:F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" customWidth="1" style="188" min="1" max="1"/>
    <col width="32" customWidth="1" style="188" min="2" max="2"/>
    <col width="28" customWidth="1" style="188" min="3" max="3"/>
    <col width="48" customWidth="1" style="188" min="4" max="4"/>
    <col width="15" customWidth="1" style="188" min="5" max="5"/>
    <col width="42" customWidth="1" style="188" min="6" max="6"/>
    <col width="43" customWidth="1" style="188" min="7" max="7"/>
    <col width="48" customWidth="1" style="188" min="8" max="8"/>
    <col width="48" customWidth="1" style="188" min="9" max="9"/>
  </cols>
  <sheetData>
    <row r="1">
      <c r="A1" s="322" t="inlineStr">
        <is>
          <t>30-mile Charlotte-area expansion — unified support areas</t>
        </is>
      </c>
      <c r="B1" s="323" t="n"/>
      <c r="C1" s="323" t="n"/>
      <c r="D1" s="323" t="n"/>
      <c r="E1" s="323" t="n"/>
      <c r="F1" s="323" t="n"/>
      <c r="G1" s="323" t="n"/>
      <c r="H1" s="323" t="n"/>
      <c r="I1" s="323" t="n"/>
    </row>
    <row r="2">
      <c r="A2" s="323" t="n"/>
      <c r="B2" s="323" t="n"/>
      <c r="C2" s="323" t="n"/>
      <c r="D2" s="323" t="n"/>
      <c r="E2" s="323" t="n"/>
      <c r="F2" s="323" t="n"/>
      <c r="G2" s="323" t="n"/>
      <c r="H2" s="323" t="n"/>
      <c r="I2" s="323" t="n"/>
    </row>
    <row r="3">
      <c r="A3" s="324" t="inlineStr">
        <is>
          <t>This sheet uses the same consolidated Support areas field as the main directory.</t>
        </is>
      </c>
      <c r="B3" s="323" t="n"/>
      <c r="C3" s="323" t="n"/>
      <c r="D3" s="323" t="n"/>
      <c r="E3" s="323" t="n"/>
      <c r="F3" s="323" t="n"/>
      <c r="G3" s="323" t="n"/>
      <c r="H3" s="323" t="n"/>
      <c r="I3" s="323" t="n"/>
    </row>
    <row r="4">
      <c r="A4" s="323" t="n"/>
      <c r="B4" s="323" t="n"/>
      <c r="C4" s="323" t="n"/>
      <c r="D4" s="323" t="n"/>
      <c r="E4" s="323" t="n"/>
      <c r="F4" s="323" t="n"/>
      <c r="G4" s="323" t="n"/>
      <c r="H4" s="323" t="n"/>
      <c r="I4" s="323" t="n"/>
    </row>
    <row r="5"/>
    <row r="6">
      <c r="A6" s="295" t="inlineStr">
        <is>
          <t>ID</t>
        </is>
      </c>
      <c r="B6" s="295" t="inlineStr">
        <is>
          <t>Organization</t>
        </is>
      </c>
      <c r="C6" s="295" t="inlineStr">
        <is>
          <t>Area</t>
        </is>
      </c>
      <c r="D6" s="295" t="inlineStr">
        <is>
          <t>Support areas</t>
        </is>
      </c>
      <c r="E6" s="295" t="inlineStr">
        <is>
          <t>Foster-specific?</t>
        </is>
      </c>
      <c r="F6" s="295" t="inlineStr">
        <is>
          <t>Best use</t>
        </is>
      </c>
      <c r="G6" s="295" t="inlineStr">
        <is>
          <t>Key limitation</t>
        </is>
      </c>
      <c r="H6" s="295" t="inlineStr">
        <is>
          <t>Official source URL</t>
        </is>
      </c>
      <c r="I6" s="208" t="n"/>
    </row>
    <row r="7" ht="68" customHeight="1" s="188">
      <c r="A7" s="296" t="n">
        <v>91</v>
      </c>
      <c r="B7" s="296" t="inlineStr">
        <is>
          <t>Home4Me — LEG Up on LIFE</t>
        </is>
      </c>
      <c r="C7" s="296" t="inlineStr">
        <is>
          <t>Charlotte / Mecklenburg</t>
        </is>
      </c>
      <c r="D7" s="296" t="inlineStr">
        <is>
          <t>Mentorship; Soft skills / life skills; Employment / workforce; Education; Financial capability; Community / belonging</t>
        </is>
      </c>
      <c r="E7" s="296" t="inlineStr">
        <is>
          <t>Yes</t>
        </is>
      </c>
      <c r="F7" s="296" t="inlineStr">
        <is>
          <t>A current or former foster youth needs consistent coaching, mentors and practical independent-living development.</t>
        </is>
      </c>
      <c r="G7" s="296" t="inlineStr">
        <is>
          <t>Meeting schedules and enrollment processes can change. Confirm the appropriate age track and whether individual coaching is available.</t>
        </is>
      </c>
      <c r="H7" s="296" t="inlineStr">
        <is>
          <t>https://home4me.org/leg-up-on-life-2-2/</t>
        </is>
      </c>
      <c r="I7" s="213" t="n"/>
    </row>
    <row r="8" ht="68" customHeight="1" s="188">
      <c r="A8" s="296" t="n">
        <v>92</v>
      </c>
      <c r="B8" s="296" t="inlineStr">
        <is>
          <t>Machiah's House</t>
        </is>
      </c>
      <c r="C8" s="296" t="inlineStr">
        <is>
          <t>Charlotte / Mecklenburg</t>
        </is>
      </c>
      <c r="D8" s="296" t="inlineStr">
        <is>
          <t>Mentorship; Soft skills / life skills; Employment / workforce; Education; Community / belonging</t>
        </is>
      </c>
      <c r="E8" s="296" t="inlineStr">
        <is>
          <t>Yes</t>
        </is>
      </c>
      <c r="F8" s="296" t="inlineStr">
        <is>
          <t>A young woman aging out of foster care needs supportive relationships, workshops and help preparing for independent adulthood.</t>
        </is>
      </c>
      <c r="G8" s="296" t="inlineStr">
        <is>
          <t>The organization is developing its residential vision; do not describe housing as currently available unless staff confirms it.</t>
        </is>
      </c>
      <c r="H8" s="296" t="inlineStr">
        <is>
          <t>https://machiahshouse.org/programs/</t>
        </is>
      </c>
      <c r="I8" s="213" t="n"/>
    </row>
    <row r="9" ht="68" customHeight="1" s="188">
      <c r="A9" s="296" t="n">
        <v>93</v>
      </c>
      <c r="B9" s="296" t="inlineStr">
        <is>
          <t>Congregations for Kids — Mentor Match</t>
        </is>
      </c>
      <c r="C9" s="296" t="inlineStr">
        <is>
          <t>Matthews / Mecklenburg-Union</t>
        </is>
      </c>
      <c r="D9" s="296" t="inlineStr">
        <is>
          <t>Mentorship; Soft skills / life skills; Community / belonging</t>
        </is>
      </c>
      <c r="E9" s="296" t="inlineStr">
        <is>
          <t>Yes</t>
        </is>
      </c>
      <c r="F9" s="296" t="inlineStr">
        <is>
          <t>A teen currently in foster care needs a committed adult mentor before aging out.</t>
        </is>
      </c>
      <c r="G9" s="296" t="inlineStr">
        <is>
          <t>Generally not an open adult program after age 18. Use primarily for early transition planning and coordinate mentor roles with the program.</t>
        </is>
      </c>
      <c r="H9" s="296" t="inlineStr">
        <is>
          <t>https://www.cfknc.org/mentor</t>
        </is>
      </c>
      <c r="I9" s="213" t="n"/>
    </row>
    <row r="10" ht="68" customHeight="1" s="188">
      <c r="A10" s="296" t="n">
        <v>94</v>
      </c>
      <c r="B10" s="296" t="inlineStr">
        <is>
          <t>City of Charlotte — Job &amp; Career Readiness Training</t>
        </is>
      </c>
      <c r="C10" s="296" t="inlineStr">
        <is>
          <t>Charlotte / Mecklenburg</t>
        </is>
      </c>
      <c r="D10" s="296" t="inlineStr">
        <is>
          <t>Employment / workforce; Education; Soft skills / life skills; Financial capability</t>
        </is>
      </c>
      <c r="E10" s="296" t="inlineStr">
        <is>
          <t>No</t>
        </is>
      </c>
      <c r="F10" s="296" t="inlineStr">
        <is>
          <t>A young adult needs workplace readiness, communication, emotional intelligence, time management or financial-literacy training.</t>
        </is>
      </c>
      <c r="G10" s="296" t="inlineStr">
        <is>
          <t>Programs are cohort-based and age limits can differ by initiative. Verify that JCRT or an equivalent 16–24 offering is currently open.</t>
        </is>
      </c>
      <c r="H10" s="296" t="inlineStr">
        <is>
          <t>https://www.charlottenc.gov/City-Government/Initiatives-and-Involvement/Office-of-Youth-Opportunities/Youth-Development</t>
        </is>
      </c>
      <c r="I10" s="213" t="n"/>
    </row>
    <row r="11" ht="68" customHeight="1" s="188">
      <c r="A11" s="296" t="n">
        <v>95</v>
      </c>
      <c r="B11" s="296" t="inlineStr">
        <is>
          <t>Step Up to Leadership</t>
        </is>
      </c>
      <c r="C11" s="296" t="inlineStr">
        <is>
          <t>Charlotte / Mecklenburg</t>
        </is>
      </c>
      <c r="D11" s="296" t="inlineStr">
        <is>
          <t>Mentorship; Soft skills / life skills; Education; Community / belonging</t>
        </is>
      </c>
      <c r="E11" s="296" t="inlineStr">
        <is>
          <t>No</t>
        </is>
      </c>
      <c r="F11" s="296" t="inlineStr">
        <is>
          <t>A young person or college student wants leadership coaching, peer development and service experience.</t>
        </is>
      </c>
      <c r="G11" s="296" t="inlineStr">
        <is>
          <t>The public site does not present one universal intake path or age range. Confirm the active cohort before referral.</t>
        </is>
      </c>
      <c r="H11" s="296" t="inlineStr">
        <is>
          <t>https://www.sutlnc.org/academics</t>
        </is>
      </c>
      <c r="I11" s="213" t="n"/>
    </row>
    <row r="12" ht="68" customHeight="1" s="188">
      <c r="A12" s="296" t="n">
        <v>96</v>
      </c>
      <c r="B12" s="296" t="inlineStr">
        <is>
          <t>SCORE Charlotte</t>
        </is>
      </c>
      <c r="C12" s="296" t="inlineStr">
        <is>
          <t>Greater Charlotte region</t>
        </is>
      </c>
      <c r="D12" s="296" t="inlineStr">
        <is>
          <t>Mentorship; Soft skills / life skills; Financial capability; Entrepreneurship</t>
        </is>
      </c>
      <c r="E12" s="296" t="inlineStr">
        <is>
          <t>No</t>
        </is>
      </c>
      <c r="F12" s="296" t="inlineStr">
        <is>
          <t>A young adult is exploring self-employment or already operating a small business and needs an experienced business mentor.</t>
        </is>
      </c>
      <c r="G12" s="296" t="inlineStr">
        <is>
          <t>SCORE is business mentoring, not general employment case management or start-up funding. A mentor match may take time.</t>
        </is>
      </c>
      <c r="H12" s="296" t="inlineStr">
        <is>
          <t>https://www.score.org/nc/charlotte/</t>
        </is>
      </c>
      <c r="I12" s="213" t="n"/>
    </row>
    <row r="13" ht="68" customHeight="1" s="188">
      <c r="A13" s="296" t="n">
        <v>97</v>
      </c>
      <c r="B13" s="296" t="inlineStr">
        <is>
          <t>Per Scholas North Carolina</t>
        </is>
      </c>
      <c r="C13" s="296" t="inlineStr">
        <is>
          <t>Charlotte / North Carolina</t>
        </is>
      </c>
      <c r="D13" s="296" t="inlineStr">
        <is>
          <t>Employment / workforce; Education; Mentorship; Soft skills / life skills; Financial capability</t>
        </is>
      </c>
      <c r="E13" s="296" t="inlineStr">
        <is>
          <t>No</t>
        </is>
      </c>
      <c r="F13" s="296" t="inlineStr">
        <is>
          <t>A young adult wants no-cost, intensive technology training plus professional development and career coaching.</t>
        </is>
      </c>
      <c r="G13" s="296" t="inlineStr">
        <is>
          <t>Courses are intensive and cohort-specific. Per Scholas does not generally pay learners to attend; direct support is case-by-case.</t>
        </is>
      </c>
      <c r="H13" s="296" t="inlineStr">
        <is>
          <t>https://perscholas.org/locations/northcarolina/</t>
        </is>
      </c>
      <c r="I13" s="213" t="n"/>
    </row>
    <row r="14" ht="68" customHeight="1" s="188">
      <c r="A14" s="296" t="n">
        <v>98</v>
      </c>
      <c r="B14" s="296" t="inlineStr">
        <is>
          <t>Community Culinary School of Charlotte</t>
        </is>
      </c>
      <c r="C14" s="296" t="inlineStr">
        <is>
          <t>Charlotte / Mecklenburg</t>
        </is>
      </c>
      <c r="D14" s="296" t="inlineStr">
        <is>
          <t>Employment / workforce; Education; Mentorship; Soft skills / life skills</t>
        </is>
      </c>
      <c r="E14" s="296" t="inlineStr">
        <is>
          <t>No</t>
        </is>
      </c>
      <c r="F14" s="296" t="inlineStr">
        <is>
          <t>An adult facing employment barriers wants culinary training, job readiness and placement support.</t>
        </is>
      </c>
      <c r="G14" s="296" t="inlineStr">
        <is>
          <t>Training is cohort-based and requires consistent participation. Confirm tuition support, schedule and eligibility before referral.</t>
        </is>
      </c>
      <c r="H14" s="296" t="inlineStr">
        <is>
          <t>https://communityculinary.org/</t>
        </is>
      </c>
      <c r="I14" s="213" t="n"/>
    </row>
    <row r="15" ht="68" customHeight="1" s="188">
      <c r="A15" s="296" t="n">
        <v>99</v>
      </c>
      <c r="B15" s="296" t="inlineStr">
        <is>
          <t>She Built This City — Adult Workforce Development</t>
        </is>
      </c>
      <c r="C15" s="296" t="inlineStr">
        <is>
          <t>Charlotte / Mecklenburg</t>
        </is>
      </c>
      <c r="D15" s="296" t="inlineStr">
        <is>
          <t>Employment / workforce; Education; Soft skills / life skills</t>
        </is>
      </c>
      <c r="E15" s="296" t="inlineStr">
        <is>
          <t>No</t>
        </is>
      </c>
      <c r="F15" s="296" t="inlineStr">
        <is>
          <t>A woman wants a structured pathway into construction, facilities maintenance or the skilled trades.</t>
        </is>
      </c>
      <c r="G15" s="296" t="inlineStr">
        <is>
          <t>Benefits such as child supervision, meals or equipment have requirements and may vary by cohort.</t>
        </is>
      </c>
      <c r="H15" s="296" t="inlineStr">
        <is>
          <t>https://www.shebuiltthiscity.org/adult-workforce-development-1</t>
        </is>
      </c>
      <c r="I15" s="213" t="n"/>
    </row>
    <row r="16" ht="68" customHeight="1" s="188">
      <c r="A16" s="296" t="n">
        <v>100</v>
      </c>
      <c r="B16" s="296" t="inlineStr">
        <is>
          <t>Charlotte Area Fund — Workforce Development</t>
        </is>
      </c>
      <c r="C16" s="296" t="inlineStr">
        <is>
          <t>Charlotte / Mecklenburg</t>
        </is>
      </c>
      <c r="D16" s="296" t="inlineStr">
        <is>
          <t>Employment / workforce; Education; Soft skills / life skills; Financial capability</t>
        </is>
      </c>
      <c r="E16" s="296" t="inlineStr">
        <is>
          <t>No</t>
        </is>
      </c>
      <c r="F16" s="296" t="inlineStr">
        <is>
          <t>A low-income adult needs job readiness, occupational training and success coaching.</t>
        </is>
      </c>
      <c r="G16" s="296" t="inlineStr">
        <is>
          <t>Training offerings and funding change. Confirm the active course, income documents and attendance requirements.</t>
        </is>
      </c>
      <c r="H16" s="296" t="inlineStr">
        <is>
          <t>https://www.charlotteareafund.org/</t>
        </is>
      </c>
      <c r="I16" s="213" t="n"/>
    </row>
    <row r="17" ht="68" customHeight="1" s="188">
      <c r="A17" s="296" t="n">
        <v>101</v>
      </c>
      <c r="B17" s="296" t="inlineStr">
        <is>
          <t>ASPIRE Community Capital</t>
        </is>
      </c>
      <c r="C17" s="296" t="inlineStr">
        <is>
          <t>Charlotte / Mecklenburg</t>
        </is>
      </c>
      <c r="D17" s="296" t="inlineStr">
        <is>
          <t>Mentorship; Soft skills / life skills; Financial capability; Entrepreneurship</t>
        </is>
      </c>
      <c r="E17" s="296" t="inlineStr">
        <is>
          <t>No</t>
        </is>
      </c>
      <c r="F17" s="296" t="inlineStr">
        <is>
          <t>A young adult wants to start or strengthen a small business and needs coaching, financial education or responsible capital.</t>
        </is>
      </c>
      <c r="G17" s="296" t="inlineStr">
        <is>
          <t>Loans are not grants and are not automatic. Some products require demonstrated business profitability and documentation.</t>
        </is>
      </c>
      <c r="H17" s="296" t="inlineStr">
        <is>
          <t>https://www.aspirecommunitycapital.org/microloan</t>
        </is>
      </c>
      <c r="I17" s="213" t="n"/>
    </row>
    <row r="18" ht="68" customHeight="1" s="188">
      <c r="A18" s="296" t="n">
        <v>102</v>
      </c>
      <c r="B18" s="296" t="inlineStr">
        <is>
          <t>Cakeable — Vocational Training</t>
        </is>
      </c>
      <c r="C18" s="296" t="inlineStr">
        <is>
          <t>Charlotte / Mecklenburg</t>
        </is>
      </c>
      <c r="D18" s="296" t="inlineStr">
        <is>
          <t>Employment / workforce; Mentorship; Soft skills / life skills; Disability support</t>
        </is>
      </c>
      <c r="E18" s="296" t="inlineStr">
        <is>
          <t>No</t>
        </is>
      </c>
      <c r="F18" s="296" t="inlineStr">
        <is>
          <t>An adult with an intellectual or developmental disability wants supported vocational training in a real workplace.</t>
        </is>
      </c>
      <c r="G18" s="296" t="inlineStr">
        <is>
          <t>Cakeable and ZABS Place joined forces in 2026 and use one application. Placement in a specific track depends on fit and capacity.</t>
        </is>
      </c>
      <c r="H18" s="296" t="inlineStr">
        <is>
          <t>https://wearecakeable.org/employment/</t>
        </is>
      </c>
      <c r="I18" s="213" t="n"/>
    </row>
    <row r="19" ht="68" customHeight="1" s="188">
      <c r="A19" s="296" t="n">
        <v>103</v>
      </c>
      <c r="B19" s="296" t="inlineStr">
        <is>
          <t>ZABS Place — Talent-in-Training</t>
        </is>
      </c>
      <c r="C19" s="296" t="inlineStr">
        <is>
          <t>Matthews / Mecklenburg-Union</t>
        </is>
      </c>
      <c r="D19" s="296" t="inlineStr">
        <is>
          <t>Employment / workforce; Mentorship; Soft skills / life skills; Disability support</t>
        </is>
      </c>
      <c r="E19" s="296" t="inlineStr">
        <is>
          <t>No</t>
        </is>
      </c>
      <c r="F19" s="296" t="inlineStr">
        <is>
          <t>A young adult with a disability wants individualized work experience, job coaching and a path to competitive employment.</t>
        </is>
      </c>
      <c r="G19" s="296" t="inlineStr">
        <is>
          <t>The training itself is described as no-cost, but a nominal application fee may apply; financial assistance may be requested.</t>
        </is>
      </c>
      <c r="H19" s="296" t="inlineStr">
        <is>
          <t>https://zabsplace.org/training-application/</t>
        </is>
      </c>
      <c r="I19" s="213" t="n"/>
    </row>
    <row r="20" ht="68" customHeight="1" s="188">
      <c r="A20" s="296" t="n">
        <v>104</v>
      </c>
      <c r="B20" s="296" t="inlineStr">
        <is>
          <t>Project 658</t>
        </is>
      </c>
      <c r="C20" s="296" t="inlineStr">
        <is>
          <t>Charlotte / Mecklenburg</t>
        </is>
      </c>
      <c r="D20" s="296" t="inlineStr">
        <is>
          <t>Health care; Employment / workforce; Education; Soft skills / life skills; Community / belonging</t>
        </is>
      </c>
      <c r="E20" s="296" t="inlineStr">
        <is>
          <t>No</t>
        </is>
      </c>
      <c r="F20" s="296" t="inlineStr">
        <is>
          <t>An immigrant or refugee young adult or family needs culturally responsive education, vocation, health and community support.</t>
        </is>
      </c>
      <c r="G20" s="296" t="inlineStr">
        <is>
          <t>Program availability and language-specific offerings change. Verify the exact class or service before referral.</t>
        </is>
      </c>
      <c r="H20" s="296" t="inlineStr">
        <is>
          <t>https://project658.com/</t>
        </is>
      </c>
      <c r="I20" s="213" t="n"/>
    </row>
    <row r="21" ht="68" customHeight="1" s="188">
      <c r="A21" s="296" t="n">
        <v>105</v>
      </c>
      <c r="B21" s="296" t="inlineStr">
        <is>
          <t>The Harvest Center — CLT Passport</t>
        </is>
      </c>
      <c r="C21" s="296" t="inlineStr">
        <is>
          <t>Charlotte / Mecklenburg</t>
        </is>
      </c>
      <c r="D21" s="296" t="inlineStr">
        <is>
          <t>Housing / homelessness; Employment / workforce; Mentorship; Soft skills / life skills; Financial capability; Community / belonging</t>
        </is>
      </c>
      <c r="E21" s="296" t="inlineStr">
        <is>
          <t>No</t>
        </is>
      </c>
      <c r="F21" s="296" t="inlineStr">
        <is>
          <t>An adult experiencing situational homelessness needs a long-term, structured residential environment focused on whole-person stability.</t>
        </is>
      </c>
      <c r="G21" s="296" t="inlineStr">
        <is>
          <t>Not an emergency shelter. Admission depends on fit, willingness to participate and residential capacity.</t>
        </is>
      </c>
      <c r="H21" s="296" t="inlineStr">
        <is>
          <t>https://theharvestcenter.org/how-we-work/</t>
        </is>
      </c>
      <c r="I21" s="213" t="n"/>
    </row>
    <row r="22" ht="68" customHeight="1" s="188">
      <c r="A22" s="296" t="n">
        <v>106</v>
      </c>
      <c r="B22" s="296" t="inlineStr">
        <is>
          <t>BraveWorks</t>
        </is>
      </c>
      <c r="C22" s="296" t="inlineStr">
        <is>
          <t>Charlotte / Mecklenburg</t>
        </is>
      </c>
      <c r="D22" s="296" t="inlineStr">
        <is>
          <t>Mentorship; Soft skills / life skills; Employment / workforce; Community / belonging</t>
        </is>
      </c>
      <c r="E22" s="296" t="inlineStr">
        <is>
          <t>No</t>
        </is>
      </c>
      <c r="F22" s="296" t="inlineStr">
        <is>
          <t>A woman affected by trauma, exploitation, poverty or major instability needs a supportive community and confidence-building pathway.</t>
        </is>
      </c>
      <c r="G22" s="296" t="inlineStr">
        <is>
          <t>This is a specialized women’s restoration/workforce program, not emergency housing or clinical treatment.</t>
        </is>
      </c>
      <c r="H22" s="296" t="inlineStr">
        <is>
          <t>https://www.braveworks.org/</t>
        </is>
      </c>
      <c r="I22" s="213" t="n"/>
    </row>
    <row r="23" ht="68" customHeight="1" s="188">
      <c r="A23" s="296" t="n">
        <v>107</v>
      </c>
      <c r="B23" s="296" t="inlineStr">
        <is>
          <t>Changed Choices</t>
        </is>
      </c>
      <c r="C23" s="296" t="inlineStr">
        <is>
          <t>Charlotte / Mecklenburg</t>
        </is>
      </c>
      <c r="D23" s="296" t="inlineStr">
        <is>
          <t>Legal / identity / safety; Employment / workforce; Mentorship; Soft skills / life skills; Community / belonging</t>
        </is>
      </c>
      <c r="E23" s="296" t="inlineStr">
        <is>
          <t>No</t>
        </is>
      </c>
      <c r="F23" s="296" t="inlineStr">
        <is>
          <t>A woman currently or formerly incarcerated needs long-term reentry case management, spiritual support and help rebuilding stability.</t>
        </is>
      </c>
      <c r="G23" s="296" t="inlineStr">
        <is>
          <t>Public intake details are limited. Confirm current capacity, referral source and service stage before presenting it as available.</t>
        </is>
      </c>
      <c r="H23" s="296" t="inlineStr">
        <is>
          <t>https://changedchoices.org/</t>
        </is>
      </c>
      <c r="I23" s="213" t="n"/>
    </row>
    <row r="24" ht="68" customHeight="1" s="188">
      <c r="A24" s="296" t="n">
        <v>108</v>
      </c>
      <c r="B24" s="296" t="inlineStr">
        <is>
          <t>Charlotte Rescue Mission — Recovery &amp; Life Skills</t>
        </is>
      </c>
      <c r="C24" s="296" t="inlineStr">
        <is>
          <t>Charlotte / Mecklenburg</t>
        </is>
      </c>
      <c r="D24" s="296" t="inlineStr">
        <is>
          <t>Mental health / recovery; Housing / homelessness; Employment / workforce; Soft skills / life skills; Financial capability; Community / belonging</t>
        </is>
      </c>
      <c r="E24" s="296" t="inlineStr">
        <is>
          <t>No</t>
        </is>
      </c>
      <c r="F24" s="296" t="inlineStr">
        <is>
          <t>An adult experiencing addiction and homelessness needs a free, faith-based residential recovery path and structured life rebuilding.</t>
        </is>
      </c>
      <c r="G24" s="296" t="inlineStr">
        <is>
          <t>Life Skills/Recovery Living are generally later stages after recovery programming, not stand-alone open workforce programs.</t>
        </is>
      </c>
      <c r="H24" s="296" t="inlineStr">
        <is>
          <t>https://charlotterescuemission.org/our-work/lifeskills/</t>
        </is>
      </c>
      <c r="I24" s="213" t="n"/>
    </row>
    <row r="25" ht="68" customHeight="1" s="188">
      <c r="A25" s="296" t="n">
        <v>109</v>
      </c>
      <c r="B25" s="296" t="inlineStr">
        <is>
          <t>Hope Haven</t>
        </is>
      </c>
      <c r="C25" s="296" t="inlineStr">
        <is>
          <t>Charlotte / Mecklenburg</t>
        </is>
      </c>
      <c r="D25" s="296" t="inlineStr">
        <is>
          <t>Mental health / recovery; Housing / homelessness; Employment / workforce; Soft skills / life skills; Community / belonging</t>
        </is>
      </c>
      <c r="E25" s="296" t="inlineStr">
        <is>
          <t>No</t>
        </is>
      </c>
      <c r="F25" s="296" t="inlineStr">
        <is>
          <t>An adult or family affected by substance-use disorder needs long-term therapeutic-community recovery and independent-living support.</t>
        </is>
      </c>
      <c r="G25" s="296" t="inlineStr">
        <is>
          <t>This is structured treatment/recovery housing. Level of care and admission must be clinically and programmatically assessed.</t>
        </is>
      </c>
      <c r="H25" s="296" t="inlineStr">
        <is>
          <t>https://hopehaveninc.org/</t>
        </is>
      </c>
      <c r="I25" s="213" t="n"/>
    </row>
    <row r="26" ht="68" customHeight="1" s="188">
      <c r="A26" s="296" t="n">
        <v>110</v>
      </c>
      <c r="B26" s="296" t="inlineStr">
        <is>
          <t>Ada Jenkins Center</t>
        </is>
      </c>
      <c r="C26" s="296" t="inlineStr">
        <is>
          <t>Davidson / North Mecklenburg</t>
        </is>
      </c>
      <c r="D26" s="296" t="inlineStr">
        <is>
          <t>Navigation / case management; Food / essentials; Soft skills / life skills; Financial capability; Community / belonging</t>
        </is>
      </c>
      <c r="E26" s="296" t="inlineStr">
        <is>
          <t>No</t>
        </is>
      </c>
      <c r="F26" s="296" t="inlineStr">
        <is>
          <t>A northern Mecklenburg resident needs coordinated support with food, economic mobility, financial coaching or other basic needs.</t>
        </is>
      </c>
      <c r="G26" s="296" t="inlineStr">
        <is>
          <t>Service geography matters. Confirm the participant’s ZIP code and the current intake window.</t>
        </is>
      </c>
      <c r="H26" s="296" t="inlineStr">
        <is>
          <t>https://www.adajenkins.org/</t>
        </is>
      </c>
      <c r="I26" s="213" t="n"/>
    </row>
    <row r="27" ht="68" customHeight="1" s="188">
      <c r="A27" s="296" t="n">
        <v>111</v>
      </c>
      <c r="B27" s="296" t="inlineStr">
        <is>
          <t>Matthews HELP Center</t>
        </is>
      </c>
      <c r="C27" s="296" t="inlineStr">
        <is>
          <t>Matthews / Mecklenburg-Union</t>
        </is>
      </c>
      <c r="D27" s="296" t="inlineStr">
        <is>
          <t>Navigation / case management; Housing / homelessness; Food / essentials; Soft skills / life skills; Financial capability; Transportation; Parenting / family</t>
        </is>
      </c>
      <c r="E27" s="296" t="inlineStr">
        <is>
          <t>No</t>
        </is>
      </c>
      <c r="F27" s="296" t="inlineStr">
        <is>
          <t>A resident of southeast Mecklenburg or nearby Union County has a recent crisis affecting rent, utilities, food, clothing, child care or transportation.</t>
        </is>
      </c>
      <c r="G27" s="296" t="inlineStr">
        <is>
          <t>Funding and eligibility are ZIP-code and crisis-specific. Assistance is not guaranteed.</t>
        </is>
      </c>
      <c r="H27" s="296" t="inlineStr">
        <is>
          <t>https://matthewshelpcenter.org/services/</t>
        </is>
      </c>
      <c r="I27" s="213" t="n"/>
    </row>
    <row r="28" ht="68" customHeight="1" s="188">
      <c r="A28" s="296" t="n">
        <v>112</v>
      </c>
      <c r="B28" s="296" t="inlineStr">
        <is>
          <t>Common Heart</t>
        </is>
      </c>
      <c r="C28" s="296" t="inlineStr">
        <is>
          <t>Indian Trail / Union County</t>
        </is>
      </c>
      <c r="D28" s="296" t="inlineStr">
        <is>
          <t>Navigation / case management; Food / essentials; Mentorship; Soft skills / life skills; Financial capability; Community / belonging</t>
        </is>
      </c>
      <c r="E28" s="296" t="inlineStr">
        <is>
          <t>No</t>
        </is>
      </c>
      <c r="F28" s="296" t="inlineStr">
        <is>
          <t>A Union County resident needs food assistance, benefits navigation or a structured economic-empowerment program.</t>
        </is>
      </c>
      <c r="G28" s="296" t="inlineStr">
        <is>
          <t>Class cohorts and pantry schedules change. Confirm residency requirements and enrollment dates.</t>
        </is>
      </c>
      <c r="H28" s="296" t="inlineStr">
        <is>
          <t>https://commonheart.org/</t>
        </is>
      </c>
      <c r="I28" s="213" t="n"/>
    </row>
    <row r="29" ht="68" customHeight="1" s="188">
      <c r="A29" s="296" t="n">
        <v>113</v>
      </c>
      <c r="B29" s="296" t="inlineStr">
        <is>
          <t>Cooperative Christian Ministry — Housing Program</t>
        </is>
      </c>
      <c r="C29" s="296" t="inlineStr">
        <is>
          <t>Concord / Cabarrus County</t>
        </is>
      </c>
      <c r="D29" s="296" t="inlineStr">
        <is>
          <t>Housing / homelessness; Employment / workforce; Soft skills / life skills; Financial capability; Parenting / family; Community / belonging</t>
        </is>
      </c>
      <c r="E29" s="296" t="inlineStr">
        <is>
          <t>No</t>
        </is>
      </c>
      <c r="F29" s="296" t="inlineStr">
        <is>
          <t>A single mother with children needs transitional housing plus employment, financial and parenting development.</t>
        </is>
      </c>
      <c r="G29" s="296" t="inlineStr">
        <is>
          <t>The housing program does not maintain a traditional waitlist and may contact past applicants only when space is available.</t>
        </is>
      </c>
      <c r="H29" s="296" t="inlineStr">
        <is>
          <t>https://cooperativeministry.com/need-assistance/housing/</t>
        </is>
      </c>
      <c r="I29" s="213" t="n"/>
    </row>
    <row r="30" ht="68" customHeight="1" s="188">
      <c r="A30" s="296" t="n">
        <v>114</v>
      </c>
      <c r="B30" s="296" t="inlineStr">
        <is>
          <t>Hope House Foundation</t>
        </is>
      </c>
      <c r="C30" s="296" t="inlineStr">
        <is>
          <t>Huntersville / North Mecklenburg</t>
        </is>
      </c>
      <c r="D30" s="296" t="inlineStr">
        <is>
          <t>Housing / homelessness; Employment / workforce; Soft skills / life skills; Community / belonging</t>
        </is>
      </c>
      <c r="E30" s="296" t="inlineStr">
        <is>
          <t>No</t>
        </is>
      </c>
      <c r="F30" s="296" t="inlineStr">
        <is>
          <t>A single woman or woman with children experiencing situational homelessness needs transitional housing and support toward self-sufficiency.</t>
        </is>
      </c>
      <c r="G30" s="296" t="inlineStr">
        <is>
          <t>Small program with limited capacity; not same-day emergency shelter and not designed for every homelessness situation.</t>
        </is>
      </c>
      <c r="H30" s="296" t="inlineStr">
        <is>
          <t>https://hopehousefoundation.org/</t>
        </is>
      </c>
      <c r="I30" s="213" t="n"/>
    </row>
    <row r="31" ht="68" customHeight="1" s="188">
      <c r="A31" s="296" t="n">
        <v>115</v>
      </c>
      <c r="B31" s="296" t="inlineStr">
        <is>
          <t>Community Shelter of Union County</t>
        </is>
      </c>
      <c r="C31" s="296" t="inlineStr">
        <is>
          <t>Monroe / Union County</t>
        </is>
      </c>
      <c r="D31" s="296" t="inlineStr">
        <is>
          <t>Housing / homelessness; Food / essentials; Employment / workforce; Education; Soft skills / life skills</t>
        </is>
      </c>
      <c r="E31" s="296" t="inlineStr">
        <is>
          <t>No</t>
        </is>
      </c>
      <c r="F31" s="296" t="inlineStr">
        <is>
          <t>A Union County adult or family is homeless or needs shelter, rehousing, food and employment support.</t>
        </is>
      </c>
      <c r="G31" s="296" t="inlineStr">
        <is>
          <t>Shelter and housing capacity are limited. Employment Lab access may be tied to shelter/program participation.</t>
        </is>
      </c>
      <c r="H31" s="296" t="inlineStr">
        <is>
          <t>https://unionshelter.org/how-we-help/overview.html</t>
        </is>
      </c>
      <c r="I31" s="213" t="n"/>
    </row>
    <row r="32" ht="68" customHeight="1" s="188">
      <c r="A32" s="296" t="n">
        <v>116</v>
      </c>
      <c r="B32" s="296" t="inlineStr">
        <is>
          <t>Turning Point — Union County</t>
        </is>
      </c>
      <c r="C32" s="296" t="inlineStr">
        <is>
          <t>Monroe / Union County</t>
        </is>
      </c>
      <c r="D32" s="296" t="inlineStr">
        <is>
          <t>Legal / identity / safety; Housing / homelessness; Mental health / recovery; Soft skills / life skills; Parenting / family</t>
        </is>
      </c>
      <c r="E32" s="296" t="inlineStr">
        <is>
          <t>No</t>
        </is>
      </c>
      <c r="F32" s="296" t="inlineStr">
        <is>
          <t>A survivor in Union County needs domestic-violence or sexual-assault crisis support, shelter, advocacy or case management.</t>
        </is>
      </c>
      <c r="G32" s="296" t="inlineStr">
        <is>
          <t>Call 911 for immediate danger. Transitional housing is not an open-entry service and depends on program completion and capacity.</t>
        </is>
      </c>
      <c r="H32" s="296" t="inlineStr">
        <is>
          <t>https://turningpointnc.org/our-services/</t>
        </is>
      </c>
      <c r="I32" s="213" t="n"/>
    </row>
    <row r="33" ht="68" customHeight="1" s="188">
      <c r="A33" s="296" t="n">
        <v>117</v>
      </c>
      <c r="B33" s="296" t="inlineStr">
        <is>
          <t>The Community Free Clinic — Cabarrus County</t>
        </is>
      </c>
      <c r="C33" s="296" t="inlineStr">
        <is>
          <t>Concord / Cabarrus County</t>
        </is>
      </c>
      <c r="D33" s="296" t="inlineStr">
        <is>
          <t>Health care; Food / essentials; Soft skills / life skills</t>
        </is>
      </c>
      <c r="E33" s="296" t="inlineStr">
        <is>
          <t>No</t>
        </is>
      </c>
      <c r="F33" s="296" t="inlineStr">
        <is>
          <t>An uninsured Cabarrus County resident needs free primary care, chronic-disease support or medication assistance.</t>
        </is>
      </c>
      <c r="G33" s="296" t="inlineStr">
        <is>
          <t>County residency and uninsured status are central eligibility requirements; specialty and dental services depend on capacity.</t>
        </is>
      </c>
      <c r="H33" s="296" t="inlineStr">
        <is>
          <t>https://www.communityfreeclinic.org/services</t>
        </is>
      </c>
      <c r="I33" s="213" t="n"/>
    </row>
    <row r="34" ht="68" customHeight="1" s="188">
      <c r="A34" s="296" t="n">
        <v>118</v>
      </c>
      <c r="B34" s="296" t="inlineStr">
        <is>
          <t>CVAN — Cabarrus Victims Assistance Network</t>
        </is>
      </c>
      <c r="C34" s="296" t="inlineStr">
        <is>
          <t>Concord / Cabarrus County</t>
        </is>
      </c>
      <c r="D34" s="296" t="inlineStr">
        <is>
          <t>Legal / identity / safety; Housing / homelessness; Mental health / recovery</t>
        </is>
      </c>
      <c r="E34" s="296" t="inlineStr">
        <is>
          <t>No</t>
        </is>
      </c>
      <c r="F34" s="296" t="inlineStr">
        <is>
          <t>A person in Cabarrus County is experiencing domestic violence and needs confidential crisis help, shelter or advocacy.</t>
        </is>
      </c>
      <c r="G34" s="296" t="inlineStr">
        <is>
          <t>Call 911 for immediate danger. Shelter placement is capacity- and safety-dependent.</t>
        </is>
      </c>
      <c r="H34" s="296" t="inlineStr">
        <is>
          <t>https://cvan.org/</t>
        </is>
      </c>
      <c r="I34" s="213" t="n"/>
    </row>
    <row r="35" ht="68" customHeight="1" s="188">
      <c r="A35" s="296" t="n">
        <v>119</v>
      </c>
      <c r="B35" s="296" t="inlineStr">
        <is>
          <t>Hope United Survivor Network</t>
        </is>
      </c>
      <c r="C35" s="296" t="inlineStr">
        <is>
          <t>Gastonia / Gaston County</t>
        </is>
      </c>
      <c r="D35" s="296" t="inlineStr">
        <is>
          <t>Legal / identity / safety; Housing / homelessness; Mental health / recovery; Community / belonging</t>
        </is>
      </c>
      <c r="E35" s="296" t="inlineStr">
        <is>
          <t>No</t>
        </is>
      </c>
      <c r="F35" s="296" t="inlineStr">
        <is>
          <t>A survivor in Gaston County needs coordinated help after domestic violence, sexual assault, child abuse or human trafficking.</t>
        </is>
      </c>
      <c r="G35" s="296" t="inlineStr">
        <is>
          <t>Services are coordinated across partner agencies; exact intake and after-hours procedures vary by need.</t>
        </is>
      </c>
      <c r="H35" s="296" t="inlineStr">
        <is>
          <t>https://www.gastongov.com/1180/Hope-United-Survivor-Network</t>
        </is>
      </c>
      <c r="I35" s="213" t="n"/>
    </row>
    <row r="36" ht="68" customHeight="1" s="188">
      <c r="A36" s="296" t="n">
        <v>120</v>
      </c>
      <c r="B36" s="296" t="inlineStr">
        <is>
          <t>The Pilgrims' Inn</t>
        </is>
      </c>
      <c r="C36" s="296" t="inlineStr">
        <is>
          <t>Rock Hill / York County</t>
        </is>
      </c>
      <c r="D36" s="296" t="inlineStr">
        <is>
          <t>Housing / homelessness; Soft skills / life skills; Parenting / family; Community / belonging</t>
        </is>
      </c>
      <c r="E36" s="296" t="inlineStr">
        <is>
          <t>No</t>
        </is>
      </c>
      <c r="F36" s="296" t="inlineStr">
        <is>
          <t>A woman with children in the Rock Hill area needs emergency or supportive housing plus family-stability services.</t>
        </is>
      </c>
      <c r="G36" s="296" t="inlineStr">
        <is>
          <t>Cross-state eligibility and capacity must be confirmed. This is primarily for women and children, not unaccompanied adult men.</t>
        </is>
      </c>
      <c r="H36" s="296" t="inlineStr">
        <is>
          <t>https://www.pilgrimsinn.org/</t>
        </is>
      </c>
      <c r="I36" s="213" t="n"/>
    </row>
    <row r="37" ht="68" customHeight="1" s="188">
      <c r="A37" s="296" t="n">
        <v>121</v>
      </c>
      <c r="B37" s="296" t="inlineStr">
        <is>
          <t>Freedom Communities</t>
        </is>
      </c>
      <c r="C37" s="296" t="inlineStr">
        <is>
          <t>West Charlotte / Mecklenburg</t>
        </is>
      </c>
      <c r="D37" s="296" t="inlineStr">
        <is>
          <t>Benefits / financial assistance; Housing / homelessness; Employment / workforce; Soft skills / life skills; Financial capability; Parenting / family; Community / belonging</t>
        </is>
      </c>
      <c r="E37" s="296" t="inlineStr">
        <is>
          <t>No</t>
        </is>
      </c>
      <c r="F37" s="296" t="inlineStr">
        <is>
          <t>A parent living in West Charlotte’s Freedom Drive corridor needs a place-based upward-mobility program connecting housing, work, finances and family stability.</t>
        </is>
      </c>
      <c r="G37" s="296" t="inlineStr">
        <is>
          <t>Not a general citywide resource. Many programs require corridor residency, parenting status and other specific qualifications.</t>
        </is>
      </c>
      <c r="H37" s="296" t="inlineStr">
        <is>
          <t>https://www.freedomcommunities.com/what-we-do</t>
        </is>
      </c>
      <c r="I37" s="213" t="n"/>
    </row>
    <row r="38" ht="68" customHeight="1" s="188">
      <c r="A38" s="296" t="n">
        <v>122</v>
      </c>
      <c r="B38" s="296" t="inlineStr">
        <is>
          <t>GenOne</t>
        </is>
      </c>
      <c r="C38" s="296" t="inlineStr">
        <is>
          <t>Charlotte / Mecklenburg</t>
        </is>
      </c>
      <c r="D38" s="296" t="inlineStr">
        <is>
          <t>Mentorship; Soft skills / life skills; Employment / workforce; Education; Community / belonging</t>
        </is>
      </c>
      <c r="E38" s="296" t="inlineStr">
        <is>
          <t>No</t>
        </is>
      </c>
      <c r="F38" s="296" t="inlineStr">
        <is>
          <t>A first-generation student already in or entering the GenOne pipeline needs long-term college, career and social-emotional support.</t>
        </is>
      </c>
      <c r="G38" s="296" t="inlineStr">
        <is>
          <t>Not open-entry for a new 18–24-year-old. It is useful for younger transition planning or young adults already enrolled as GenOne scholars.</t>
        </is>
      </c>
      <c r="H38" s="296" t="inlineStr">
        <is>
          <t>https://www.genoneclt.org/mission-vision</t>
        </is>
      </c>
      <c r="I38" s="213" t="n"/>
    </row>
    <row r="39" ht="68" customHeight="1" s="188">
      <c r="A39" s="296" t="n">
        <v>123</v>
      </c>
      <c r="B39" s="296" t="inlineStr">
        <is>
          <t>Carolina Youth Coalition</t>
        </is>
      </c>
      <c r="C39" s="296" t="inlineStr">
        <is>
          <t>Charlotte / Mecklenburg</t>
        </is>
      </c>
      <c r="D39" s="296" t="inlineStr">
        <is>
          <t>Mentorship; Soft skills / life skills; Employment / workforce; Education; Financial capability; Community / belonging</t>
        </is>
      </c>
      <c r="E39" s="296" t="inlineStr">
        <is>
          <t>No</t>
        </is>
      </c>
      <c r="F39" s="296" t="inlineStr">
        <is>
          <t>A high-school student or existing college fellow needs intensive college access, mentoring, leadership and persistence support.</t>
        </is>
      </c>
      <c r="G39" s="296" t="inlineStr">
        <is>
          <t>Not a general open-entry program for young adults who were not enrolled during high school. College mentoring is primarily for program fellows.</t>
        </is>
      </c>
      <c r="H39" s="296" t="inlineStr">
        <is>
          <t>https://www.carolinayouth.org/programs</t>
        </is>
      </c>
      <c r="I39" s="213" t="n"/>
    </row>
    <row r="40" ht="68" customHeight="1" s="188">
      <c r="A40" s="296" t="n">
        <v>124</v>
      </c>
      <c r="B40" s="296" t="inlineStr">
        <is>
          <t>Right Moves for Youth</t>
        </is>
      </c>
      <c r="C40" s="296" t="inlineStr">
        <is>
          <t>Charlotte / Mecklenburg</t>
        </is>
      </c>
      <c r="D40" s="296" t="inlineStr">
        <is>
          <t>Mentorship; Soft skills / life skills; Education; Community / belonging</t>
        </is>
      </c>
      <c r="E40" s="296" t="inlineStr">
        <is>
          <t>No</t>
        </is>
      </c>
      <c r="F40" s="296" t="inlineStr">
        <is>
          <t>A middle- or high-school student needs school-based group mentoring, social-emotional learning and graduation support.</t>
        </is>
      </c>
      <c r="G40" s="296" t="inlineStr">
        <is>
          <t>Primarily a school-age prevention program, not a service a new 18–24-year-old can usually enter after leaving high school.</t>
        </is>
      </c>
      <c r="H40" s="296" t="inlineStr">
        <is>
          <t>https://rightmovesforyouth.org/</t>
        </is>
      </c>
      <c r="I40" s="213" t="n"/>
    </row>
    <row r="41" ht="68" customHeight="1" s="188">
      <c r="A41" s="296" t="n">
        <v>125</v>
      </c>
      <c r="B41" s="296" t="inlineStr">
        <is>
          <t>Do Greater Charlotte — Sparkhouse</t>
        </is>
      </c>
      <c r="C41" s="296" t="inlineStr">
        <is>
          <t>Charlotte / Mecklenburg</t>
        </is>
      </c>
      <c r="D41" s="296" t="inlineStr">
        <is>
          <t>Mentorship; Soft skills / life skills; Employment / workforce; Education; Entrepreneurship; Community / belonging</t>
        </is>
      </c>
      <c r="E41" s="296" t="inlineStr">
        <is>
          <t>No</t>
        </is>
      </c>
      <c r="F41" s="296" t="inlineStr">
        <is>
          <t>A teen or emerging young adult wants creative technology, entrepreneurship, mentorship and leadership exposure.</t>
        </is>
      </c>
      <c r="G41" s="296" t="inlineStr">
        <is>
          <t>Most programs are youth-focused and may not accept a new participant over 19. Verify the current offering and age range.</t>
        </is>
      </c>
      <c r="H41" s="296" t="inlineStr">
        <is>
          <t>https://dogreater.org/</t>
        </is>
      </c>
      <c r="I41" s="213" t="n"/>
    </row>
    <row r="42" ht="68" customHeight="1" s="188">
      <c r="A42" s="296" t="n">
        <v>126</v>
      </c>
      <c r="B42" s="296" t="inlineStr">
        <is>
          <t>Latin American Coalition</t>
        </is>
      </c>
      <c r="C42" s="296" t="inlineStr">
        <is>
          <t>Charlotte / Mecklenburg</t>
        </is>
      </c>
      <c r="D42" s="296" t="inlineStr">
        <is>
          <t>Employment / workforce; Soft skills / life skills; Legal / identity / safety; Community / belonging</t>
        </is>
      </c>
      <c r="E42" s="296" t="inlineStr">
        <is>
          <t>No</t>
        </is>
      </c>
      <c r="F42" s="296" t="inlineStr">
        <is>
          <t>A Latino immigrant young adult or family needs bilingual workforce, legal, family-wellness or community support.</t>
        </is>
      </c>
      <c r="G42" s="296" t="inlineStr">
        <is>
          <t>Not every service is open at all times; legal and financial assistance have separate intake and eligibility processes.</t>
        </is>
      </c>
      <c r="H42" s="296" t="inlineStr">
        <is>
          <t>https://latinamericancoalition.org/</t>
        </is>
      </c>
      <c r="I42" s="213" t="n"/>
    </row>
    <row r="43" ht="68" customHeight="1" s="188">
      <c r="A43" s="296" t="n">
        <v>127</v>
      </c>
      <c r="B43" s="296" t="inlineStr">
        <is>
          <t>International House</t>
        </is>
      </c>
      <c r="C43" s="296" t="inlineStr">
        <is>
          <t>Charlotte / Mecklenburg</t>
        </is>
      </c>
      <c r="D43" s="296" t="inlineStr">
        <is>
          <t>Employment / workforce; Education; Soft skills / life skills; Community / belonging</t>
        </is>
      </c>
      <c r="E43" s="296" t="inlineStr">
        <is>
          <t>No</t>
        </is>
      </c>
      <c r="F43" s="296" t="inlineStr">
        <is>
          <t>An immigrant or international young adult needs English instruction, tutoring, citizenship education or community integration.</t>
        </is>
      </c>
      <c r="G43" s="296" t="inlineStr">
        <is>
          <t>Classes run in sessions and fill. Language instruction supports workforce readiness but is not direct job placement.</t>
        </is>
      </c>
      <c r="H43" s="296" t="inlineStr">
        <is>
          <t>https://www.ihclt.org/adult-education</t>
        </is>
      </c>
      <c r="I43" s="213" t="n"/>
    </row>
  </sheetData>
  <mergeCells count="4">
    <mergeCell ref="A3:I4"/>
    <mergeCell ref="A1:H2"/>
    <mergeCell ref="A1:I2"/>
    <mergeCell ref="A3:H4"/>
  </mergeCells>
  <conditionalFormatting sqref="E7:E43">
    <cfRule type="expression" priority="1" dxfId="0">
      <formula>E7="Yes"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style="188" min="1" max="1"/>
    <col width="24" customWidth="1" style="188" min="2" max="2"/>
    <col width="38" customWidth="1" style="188" min="3" max="3"/>
    <col width="55" customWidth="1" style="188" min="4" max="4"/>
    <col width="13" customWidth="1" style="188" min="5" max="5"/>
    <col width="48" customWidth="1" style="188" min="6" max="6"/>
  </cols>
  <sheetData>
    <row r="1">
      <c r="A1" s="332" t="inlineStr">
        <is>
          <t>Charlotte Young Adult Resource Database — review disposition</t>
        </is>
      </c>
      <c r="B1" s="323" t="n"/>
      <c r="C1" s="323" t="n"/>
      <c r="D1" s="323" t="n"/>
      <c r="E1" s="323" t="n"/>
      <c r="F1" s="323" t="n"/>
    </row>
    <row r="2">
      <c r="A2" s="323" t="n"/>
      <c r="B2" s="323" t="n"/>
      <c r="C2" s="323" t="n"/>
      <c r="D2" s="323" t="n"/>
      <c r="E2" s="323" t="n"/>
      <c r="F2" s="323" t="n"/>
    </row>
    <row r="3">
      <c r="A3" s="288" t="inlineStr">
        <is>
          <t>Source document</t>
        </is>
      </c>
      <c r="B3" s="288" t="inlineStr">
        <is>
          <t>Disposition</t>
        </is>
      </c>
      <c r="C3" s="288" t="inlineStr">
        <is>
          <t>Current directory entry</t>
        </is>
      </c>
      <c r="D3" s="288" t="inlineStr">
        <is>
          <t>Reason / change</t>
        </is>
      </c>
      <c r="E3" s="288" t="inlineStr">
        <is>
          <t>Verified</t>
        </is>
      </c>
      <c r="F3" s="288" t="inlineStr">
        <is>
          <t>Source</t>
        </is>
      </c>
    </row>
    <row r="4" ht="58" customHeight="1" s="188">
      <c r="A4" s="292" t="inlineStr">
        <is>
          <t>The Relatives</t>
        </is>
      </c>
      <c r="B4" s="292" t="inlineStr">
        <is>
          <t>Merged</t>
        </is>
      </c>
      <c r="C4" s="292" t="inlineStr">
        <is>
          <t>On Ramp; Young Adult Housing</t>
        </is>
      </c>
      <c r="D4" s="292" t="inlineStr">
        <is>
          <t>Existing records cover young-adult housing, employment, education, workshops and case management.</t>
        </is>
      </c>
      <c r="E4" s="292" t="inlineStr">
        <is>
          <t>2026-08-05</t>
        </is>
      </c>
      <c r="F4" s="292" t="inlineStr">
        <is>
          <t>https://therelatives.org/</t>
        </is>
      </c>
    </row>
    <row r="5" ht="58" customHeight="1" s="188">
      <c r="A5" s="292" t="inlineStr">
        <is>
          <t>Roof Above</t>
        </is>
      </c>
      <c r="B5" s="292" t="inlineStr">
        <is>
          <t>Merged</t>
        </is>
      </c>
      <c r="C5" s="292" t="inlineStr">
        <is>
          <t>Day Services; Men's Shelter; Housing</t>
        </is>
      </c>
      <c r="D5" s="292" t="inlineStr">
        <is>
          <t>Existing records are more detailed than the document entry.</t>
        </is>
      </c>
      <c r="E5" s="292" t="inlineStr">
        <is>
          <t>2026-08-05</t>
        </is>
      </c>
      <c r="F5" s="292" t="inlineStr">
        <is>
          <t>https://www.roofabove.org/get-help/</t>
        </is>
      </c>
    </row>
    <row r="6" ht="58" customHeight="1" s="188">
      <c r="A6" s="292" t="inlineStr">
        <is>
          <t>Salvation Army / Center of Hope</t>
        </is>
      </c>
      <c r="B6" s="292" t="inlineStr">
        <is>
          <t>Merged + added</t>
        </is>
      </c>
      <c r="C6" s="292" t="inlineStr">
        <is>
          <t>Center of Hope; Adult Rehabilitation Center</t>
        </is>
      </c>
      <c r="D6" s="292" t="inlineStr">
        <is>
          <t>Women's shelter retained; adult residential recovery program added separately.</t>
        </is>
      </c>
      <c r="E6" s="292" t="inlineStr">
        <is>
          <t>2026-08-05</t>
        </is>
      </c>
      <c r="F6" s="292" t="inlineStr">
        <is>
          <t>https://southernusa.salvationarmy.org/arc-south/charlotte</t>
        </is>
      </c>
    </row>
    <row r="7" ht="58" customHeight="1" s="188">
      <c r="A7" s="292" t="inlineStr">
        <is>
          <t>Medicaid Transportation</t>
        </is>
      </c>
      <c r="B7" s="292" t="inlineStr">
        <is>
          <t>Merged</t>
        </is>
      </c>
      <c r="C7" s="292" t="inlineStr">
        <is>
          <t>Mecklenburg Transportation System</t>
        </is>
      </c>
      <c r="D7" s="292" t="inlineStr">
        <is>
          <t>Existing transportation record retained.</t>
        </is>
      </c>
      <c r="E7" s="292" t="inlineStr">
        <is>
          <t>2026-08-05</t>
        </is>
      </c>
      <c r="F7" s="292" t="inlineStr">
        <is>
          <t>https://cfas.mecknc.gov/services/mecklenburg-transportation-system</t>
        </is>
      </c>
    </row>
    <row r="8" ht="58" customHeight="1" s="188">
      <c r="A8" s="292" t="inlineStr">
        <is>
          <t>Charlotte-area pantry list</t>
        </is>
      </c>
      <c r="B8" s="292" t="inlineStr">
        <is>
          <t>Not a standalone organization</t>
        </is>
      </c>
      <c r="C8" s="292" t="inlineStr">
        <is>
          <t>Second Harvest food locator</t>
        </is>
      </c>
      <c r="D8" s="292" t="inlineStr">
        <is>
          <t>Generic directory is already represented by the regional food locator.</t>
        </is>
      </c>
      <c r="E8" s="292" t="inlineStr">
        <is>
          <t>2026-08-05</t>
        </is>
      </c>
      <c r="F8" s="292" t="inlineStr">
        <is>
          <t>https://www.secondharvestmetrolina.org/need-food</t>
        </is>
      </c>
    </row>
    <row r="9" ht="58" customHeight="1" s="188">
      <c r="A9" s="292" t="inlineStr">
        <is>
          <t>Hearts &amp; Hands Food Pantry</t>
        </is>
      </c>
      <c r="B9" s="292" t="inlineStr">
        <is>
          <t>Added</t>
        </is>
      </c>
      <c r="C9" s="292" t="inlineStr">
        <is>
          <t>Hearts &amp; Hands Food Pantry</t>
        </is>
      </c>
      <c r="D9" s="292" t="inlineStr">
        <is>
          <t>Current appointment, pickup and delivery rules added.</t>
        </is>
      </c>
      <c r="E9" s="292" t="inlineStr">
        <is>
          <t>2026-08-05</t>
        </is>
      </c>
      <c r="F9" s="292" t="inlineStr">
        <is>
          <t>https://www.heartsandhandsfoodpantry.com/get-help</t>
        </is>
      </c>
    </row>
    <row r="10" ht="58" customHeight="1" s="188">
      <c r="A10" s="292" t="inlineStr">
        <is>
          <t>Hope Street Food Pantry</t>
        </is>
      </c>
      <c r="B10" s="292" t="inlineStr">
        <is>
          <t>Added</t>
        </is>
      </c>
      <c r="C10" s="292" t="inlineStr">
        <is>
          <t>Hope Street Food Pantry</t>
        </is>
      </c>
      <c r="D10" s="292" t="inlineStr">
        <is>
          <t>Current main and mobile distribution information added.</t>
        </is>
      </c>
      <c r="E10" s="292" t="inlineStr">
        <is>
          <t>2026-08-05</t>
        </is>
      </c>
      <c r="F10" s="292" t="inlineStr">
        <is>
          <t>https://hopestreetfoodpantry.com/get-help/</t>
        </is>
      </c>
    </row>
    <row r="11" ht="58" customHeight="1" s="188">
      <c r="A11" s="292" t="inlineStr">
        <is>
          <t>Kingdom Kitchen</t>
        </is>
      </c>
      <c r="B11" s="292" t="inlineStr">
        <is>
          <t>Added</t>
        </is>
      </c>
      <c r="C11" s="292" t="inlineStr">
        <is>
          <t>Final Harvest Ministries — Kingdom Kitchen</t>
        </is>
      </c>
      <c r="D11" s="292" t="inlineStr">
        <is>
          <t>Official ministry page replaced the document's third-party listing.</t>
        </is>
      </c>
      <c r="E11" s="292" t="inlineStr">
        <is>
          <t>2026-08-05</t>
        </is>
      </c>
      <c r="F11" s="292" t="inlineStr">
        <is>
          <t>https://thefinalharvest.net/kingdom-kitchen</t>
        </is>
      </c>
    </row>
    <row r="12" ht="58" customHeight="1" s="188">
      <c r="A12" s="292" t="inlineStr">
        <is>
          <t>Second Harvest Food Bank</t>
        </is>
      </c>
      <c r="B12" s="292" t="inlineStr">
        <is>
          <t>Merged</t>
        </is>
      </c>
      <c r="C12" s="292" t="inlineStr">
        <is>
          <t>Second Harvest Food Bank of Metrolina</t>
        </is>
      </c>
      <c r="D12" s="292" t="inlineStr">
        <is>
          <t>Existing regional locator record retained.</t>
        </is>
      </c>
      <c r="E12" s="292" t="inlineStr">
        <is>
          <t>2026-08-05</t>
        </is>
      </c>
      <c r="F12" s="292" t="inlineStr">
        <is>
          <t>https://www.secondharvestmetrolina.org/need-food</t>
        </is>
      </c>
    </row>
    <row r="13" ht="58" customHeight="1" s="188">
      <c r="A13" s="292" t="inlineStr">
        <is>
          <t>Food Pharmacy / Camino</t>
        </is>
      </c>
      <c r="B13" s="292" t="inlineStr">
        <is>
          <t>Merged + enriched</t>
        </is>
      </c>
      <c r="C13" s="292" t="inlineStr">
        <is>
          <t>Camino Health Center</t>
        </is>
      </c>
      <c r="D13" s="292" t="inlineStr">
        <is>
          <t>Existing Camino record now names Food Farmacy and social navigation.</t>
        </is>
      </c>
      <c r="E13" s="292" t="inlineStr">
        <is>
          <t>2026-08-05</t>
        </is>
      </c>
      <c r="F13" s="292" t="inlineStr">
        <is>
          <t>https://camino.org/</t>
        </is>
      </c>
    </row>
    <row r="14" ht="58" customHeight="1" s="188">
      <c r="A14" s="292" t="inlineStr">
        <is>
          <t>Livingstone Center for Aging Out</t>
        </is>
      </c>
      <c r="B14" s="292" t="inlineStr">
        <is>
          <t>Added under current name</t>
        </is>
      </c>
      <c r="C14" s="292" t="inlineStr">
        <is>
          <t>Livingstone H.O.P.E. Emancipation Project</t>
        </is>
      </c>
      <c r="D14" s="292" t="inlineStr">
        <is>
          <t>Current foster-specific college initiative added; outside 30-mile radius labeled.</t>
        </is>
      </c>
      <c r="E14" s="292" t="inlineStr">
        <is>
          <t>2026-08-05</t>
        </is>
      </c>
      <c r="F14" s="292" t="inlineStr">
        <is>
          <t>https://livingstone.edu/h-o-p-e/</t>
        </is>
      </c>
    </row>
    <row r="15" ht="58" customHeight="1" s="188">
      <c r="A15" s="292" t="inlineStr">
        <is>
          <t>Goodwill University</t>
        </is>
      </c>
      <c r="B15" s="292" t="inlineStr">
        <is>
          <t>Merged + enriched</t>
        </is>
      </c>
      <c r="C15" s="292" t="inlineStr">
        <is>
          <t>Goodwill Charlotte Career Center</t>
        </is>
      </c>
      <c r="D15" s="292" t="inlineStr">
        <is>
          <t>Existing Goodwill record expanded to include workshops and occupational training.</t>
        </is>
      </c>
      <c r="E15" s="292" t="inlineStr">
        <is>
          <t>2026-08-05</t>
        </is>
      </c>
      <c r="F15" s="292" t="inlineStr">
        <is>
          <t>https://goodwillsp.org/job-career-services/</t>
        </is>
      </c>
    </row>
    <row r="16" ht="58" customHeight="1" s="188">
      <c r="A16" s="292" t="inlineStr">
        <is>
          <t>CPCC NCWorks NextGen</t>
        </is>
      </c>
      <c r="B16" s="292" t="inlineStr">
        <is>
          <t>Merged</t>
        </is>
      </c>
      <c r="C16" s="292" t="inlineStr">
        <is>
          <t>NCWorks NextGen — Charlotte Works</t>
        </is>
      </c>
      <c r="D16" s="292" t="inlineStr">
        <is>
          <t>Existing youth workforce entry retained.</t>
        </is>
      </c>
      <c r="E16" s="292" t="inlineStr">
        <is>
          <t>2026-08-05</t>
        </is>
      </c>
      <c r="F16" s="292" t="inlineStr">
        <is>
          <t>https://www.charlotteworks.com/services/youth-young-adults/</t>
        </is>
      </c>
    </row>
    <row r="17" ht="58" customHeight="1" s="188">
      <c r="A17" s="292" t="inlineStr">
        <is>
          <t>OMITT Trade School</t>
        </is>
      </c>
      <c r="B17" s="292" t="inlineStr">
        <is>
          <t>Added</t>
        </is>
      </c>
      <c r="C17" s="292" t="inlineStr">
        <is>
          <t>OMITT Trade School</t>
        </is>
      </c>
      <c r="D17" s="292" t="inlineStr">
        <is>
          <t>Current vocational training and enrollment process added.</t>
        </is>
      </c>
      <c r="E17" s="292" t="inlineStr">
        <is>
          <t>2026-08-05</t>
        </is>
      </c>
      <c r="F17" s="292" t="inlineStr">
        <is>
          <t>https://www.omitttradeschool.com/</t>
        </is>
      </c>
    </row>
    <row r="18" ht="58" customHeight="1" s="188">
      <c r="A18" s="292" t="inlineStr">
        <is>
          <t>She Built This City</t>
        </is>
      </c>
      <c r="B18" s="292" t="inlineStr">
        <is>
          <t>Merged</t>
        </is>
      </c>
      <c r="C18" s="292" t="inlineStr">
        <is>
          <t>She Built This City — Adult Workforce Development</t>
        </is>
      </c>
      <c r="D18" s="292" t="inlineStr">
        <is>
          <t>Already included in the 30-mile expansion.</t>
        </is>
      </c>
      <c r="E18" s="292" t="inlineStr">
        <is>
          <t>2026-08-05</t>
        </is>
      </c>
      <c r="F18" s="292" t="inlineStr">
        <is>
          <t>https://www.shebuiltthiscity.org/adult-workforce-development-1</t>
        </is>
      </c>
    </row>
    <row r="19" ht="58" customHeight="1" s="188">
      <c r="A19" s="292" t="inlineStr">
        <is>
          <t>BuildStrongCharlotte</t>
        </is>
      </c>
      <c r="B19" s="292" t="inlineStr">
        <is>
          <t>Added with warning</t>
        </is>
      </c>
      <c r="C19" s="292" t="inlineStr">
        <is>
          <t>BuildStrong Academy of Charlotte</t>
        </is>
      </c>
      <c r="D19" s="292" t="inlineStr">
        <is>
          <t>Official page exists but an active class schedule was not confirmed.</t>
        </is>
      </c>
      <c r="E19" s="292" t="inlineStr">
        <is>
          <t>2026-08-05</t>
        </is>
      </c>
      <c r="F19" s="292" t="inlineStr">
        <is>
          <t>https://hbi.org/buildstrong-charlotte-2/</t>
        </is>
      </c>
    </row>
    <row r="20" ht="58" customHeight="1" s="188">
      <c r="A20" s="292" t="inlineStr">
        <is>
          <t>Free/low-cost clinic list</t>
        </is>
      </c>
      <c r="B20" s="292" t="inlineStr">
        <is>
          <t>Not a standalone organization</t>
        </is>
      </c>
      <c r="C20" s="292" t="inlineStr">
        <is>
          <t>County directory and individual clinics</t>
        </is>
      </c>
      <c r="D20" s="292" t="inlineStr">
        <is>
          <t>Generic directory was already represented.</t>
        </is>
      </c>
      <c r="E20" s="292" t="inlineStr">
        <is>
          <t>2026-08-05</t>
        </is>
      </c>
      <c r="F20" s="292" t="inlineStr">
        <is>
          <t>https://health.mecknc.gov/FreeLowCostClinics</t>
        </is>
      </c>
    </row>
    <row r="21" ht="58" customHeight="1" s="188">
      <c r="A21" s="292" t="inlineStr">
        <is>
          <t>My Farm Camps Experience</t>
        </is>
      </c>
      <c r="B21" s="292" t="inlineStr">
        <is>
          <t>Added as partnership lead</t>
        </is>
      </c>
      <c r="C21" s="292" t="inlineStr">
        <is>
          <t>My Farm Camps Experience</t>
        </is>
      </c>
      <c r="D21" s="292" t="inlineStr">
        <is>
          <t>Relevant experiential resource; no routine young-adult therapy intake was found.</t>
        </is>
      </c>
      <c r="E21" s="292" t="inlineStr">
        <is>
          <t>2026-08-05</t>
        </is>
      </c>
      <c r="F21" s="292" t="inlineStr">
        <is>
          <t>https://www.myfarmcamps.com/</t>
        </is>
      </c>
    </row>
    <row r="22" ht="58" customHeight="1" s="188">
      <c r="A22" s="292" t="inlineStr">
        <is>
          <t>Agape Acres</t>
        </is>
      </c>
      <c r="B22" s="292" t="inlineStr">
        <is>
          <t>Added with age warning</t>
        </is>
      </c>
      <c r="C22" s="292" t="inlineStr">
        <is>
          <t>Agape Acres</t>
        </is>
      </c>
      <c r="D22" s="292" t="inlineStr">
        <is>
          <t>Equine mentoring is relevant, but eligibility beyond teen years must be confirmed.</t>
        </is>
      </c>
      <c r="E22" s="292" t="inlineStr">
        <is>
          <t>2026-08-05</t>
        </is>
      </c>
      <c r="F22" s="292" t="inlineStr">
        <is>
          <t>https://www.agapeacrescarolinas.com/services</t>
        </is>
      </c>
    </row>
    <row r="23" ht="58" customHeight="1" s="188">
      <c r="A23" s="292" t="inlineStr">
        <is>
          <t>Mental Health America</t>
        </is>
      </c>
      <c r="B23" s="292" t="inlineStr">
        <is>
          <t>Added</t>
        </is>
      </c>
      <c r="C23" s="292" t="inlineStr">
        <is>
          <t>MHA of Central Carolinas — Counseling</t>
        </is>
      </c>
      <c r="D23" s="292" t="inlineStr">
        <is>
          <t>Current free counseling and navigator information added.</t>
        </is>
      </c>
      <c r="E23" s="292" t="inlineStr">
        <is>
          <t>2026-08-05</t>
        </is>
      </c>
      <c r="F23" s="292" t="inlineStr">
        <is>
          <t>https://mhaofcc.org/program/counseling</t>
        </is>
      </c>
    </row>
    <row r="24" ht="58" customHeight="1" s="188">
      <c r="A24" s="292" t="inlineStr">
        <is>
          <t>Barnabas Center</t>
        </is>
      </c>
      <c r="B24" s="292" t="inlineStr">
        <is>
          <t>Added</t>
        </is>
      </c>
      <c r="C24" s="292" t="inlineStr">
        <is>
          <t>The Barnabas Center</t>
        </is>
      </c>
      <c r="D24" s="292" t="inlineStr">
        <is>
          <t>Current fees and scholarship process added.</t>
        </is>
      </c>
      <c r="E24" s="292" t="inlineStr">
        <is>
          <t>2026-08-05</t>
        </is>
      </c>
      <c r="F24" s="292" t="inlineStr">
        <is>
          <t>https://thebarnabascenter.org/what-we-do/counseling/</t>
        </is>
      </c>
    </row>
    <row r="25" ht="58" customHeight="1" s="188">
      <c r="A25" s="292" t="inlineStr">
        <is>
          <t>C.W. Williams</t>
        </is>
      </c>
      <c r="B25" s="292" t="inlineStr">
        <is>
          <t>Merged + enriched</t>
        </is>
      </c>
      <c r="C25" s="292" t="inlineStr">
        <is>
          <t>C.W. Williams Community Health Center</t>
        </is>
      </c>
      <c r="D25" s="292" t="inlineStr">
        <is>
          <t>Expanded to include behavioral, dental, substance-use, HIV/STI and case management.</t>
        </is>
      </c>
      <c r="E25" s="292" t="inlineStr">
        <is>
          <t>2026-08-05</t>
        </is>
      </c>
      <c r="F25" s="292" t="inlineStr">
        <is>
          <t>https://cwwilliams.org/services/</t>
        </is>
      </c>
    </row>
    <row r="26" ht="58" customHeight="1" s="188">
      <c r="A26" s="292" t="inlineStr">
        <is>
          <t>Congregations for Kids</t>
        </is>
      </c>
      <c r="B26" s="292" t="inlineStr">
        <is>
          <t>Merged</t>
        </is>
      </c>
      <c r="C26" s="292" t="inlineStr">
        <is>
          <t>Congregations for Kids — Mentor Match</t>
        </is>
      </c>
      <c r="D26" s="292" t="inlineStr">
        <is>
          <t>Already included with age and referral limitations.</t>
        </is>
      </c>
      <c r="E26" s="292" t="inlineStr">
        <is>
          <t>2026-08-05</t>
        </is>
      </c>
      <c r="F26" s="292" t="inlineStr">
        <is>
          <t>https://www.cfknc.org/mentor</t>
        </is>
      </c>
    </row>
    <row r="27" ht="58" customHeight="1" s="188">
      <c r="A27" s="292" t="inlineStr">
        <is>
          <t>Crisis Assistance Free Store</t>
        </is>
      </c>
      <c r="B27" s="292" t="inlineStr">
        <is>
          <t>Merged + updated</t>
        </is>
      </c>
      <c r="C27" s="292" t="inlineStr">
        <is>
          <t>Crisis Assistance Ministry — Free Store</t>
        </is>
      </c>
      <c r="D27" s="292" t="inlineStr">
        <is>
          <t>Current walk-in shopping hours added.</t>
        </is>
      </c>
      <c r="E27" s="292" t="inlineStr">
        <is>
          <t>2026-08-05</t>
        </is>
      </c>
      <c r="F27" s="292" t="inlineStr">
        <is>
          <t>https://crisisassistance.org/programs/get-help/free-store/</t>
        </is>
      </c>
    </row>
    <row r="28" ht="58" customHeight="1" s="188">
      <c r="A28" s="292" t="inlineStr">
        <is>
          <t>Hickory Grove Clothes Closet</t>
        </is>
      </c>
      <c r="B28" s="292" t="inlineStr">
        <is>
          <t>Added</t>
        </is>
      </c>
      <c r="C28" s="292" t="inlineStr">
        <is>
          <t>Hickory Grove Baptist Church — Clothes Closet</t>
        </is>
      </c>
      <c r="D28" s="292" t="inlineStr">
        <is>
          <t>Event-based clothing help added with frequency warning.</t>
        </is>
      </c>
      <c r="E28" s="292" t="inlineStr">
        <is>
          <t>2026-08-05</t>
        </is>
      </c>
      <c r="F28" s="292" t="inlineStr">
        <is>
          <t>https://www.hickorygrove.org/article/clothes-closet/</t>
        </is>
      </c>
    </row>
    <row r="29" ht="58" customHeight="1" s="188">
      <c r="A29" s="292" t="inlineStr">
        <is>
          <t>Dress for Success Charlotte</t>
        </is>
      </c>
      <c r="B29" s="292" t="inlineStr">
        <is>
          <t>Merged</t>
        </is>
      </c>
      <c r="C29" s="292" t="inlineStr">
        <is>
          <t>Dress for Success Charlotte</t>
        </is>
      </c>
      <c r="D29" s="292" t="inlineStr">
        <is>
          <t>Existing record retained.</t>
        </is>
      </c>
      <c r="E29" s="292" t="inlineStr">
        <is>
          <t>2026-08-05</t>
        </is>
      </c>
      <c r="F29" s="292" t="inlineStr">
        <is>
          <t>https://charlotte.dressforsuccess.org/about-us/what-we-do/</t>
        </is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2026-08-18T12:02:14Z</dcterms:created>
  <dcterms:modified xsi:type="dcterms:W3CDTF">2026-08-18T12:02:14Z</dcterms:modified>
</cp:coreProperties>
</file>